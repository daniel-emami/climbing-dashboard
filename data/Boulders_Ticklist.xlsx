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" yWindow="0" windowWidth="24920" windowHeight="16060" tabRatio="500" firstSheet="0" activeTab="0" autoFilterDateGrouping="1"/>
  </bookViews>
  <sheets>
    <sheet name="Sheet1" sheetId="1" state="visible" r:id="rId1"/>
  </sheets>
  <definedNames/>
  <calcPr calcId="140000" fullCalcOnLoad="1" concurrentCalc="0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4" fontId="4" fillId="0" borderId="0" pivotButton="0" quotePrefix="0" xfId="0"/>
    <xf numFmtId="164" fontId="0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ln>
              <a:prstDash val="solid"/>
            </a:ln>
          </spPr>
          <invertIfNegative val="0"/>
          <cat>
            <strRef>
              <f>Sheet1!$J$3:$J$9</f>
              <strCache>
                <ptCount val="7"/>
                <pt idx="0">
                  <v>Antal 6a for 27crags:</v>
                </pt>
                <pt idx="1">
                  <v>Antal 6a+ for 27crags:</v>
                </pt>
                <pt idx="2">
                  <v>Antal 6b for 27crags:</v>
                </pt>
                <pt idx="3">
                  <v>Antal 6b+ for 27crags:</v>
                </pt>
                <pt idx="4">
                  <v>Antal 6c for 27crags:</v>
                </pt>
                <pt idx="5">
                  <v>Antal 6c+ for 27crags:</v>
                </pt>
                <pt idx="6">
                  <v>Antal 7a for 27crags:</v>
                </pt>
              </strCache>
            </strRef>
          </cat>
          <val>
            <numRef>
              <f>Sheet1!$K$3:$K$9</f>
              <numCache>
                <formatCode>General</formatCode>
                <ptCount val="7"/>
                <pt idx="0">
                  <v>8</v>
                </pt>
                <pt idx="1">
                  <v>9</v>
                </pt>
                <pt idx="2">
                  <v>10</v>
                </pt>
                <pt idx="3">
                  <v>2</v>
                </pt>
                <pt idx="4">
                  <v>5</v>
                </pt>
                <pt idx="5">
                  <v>2</v>
                </pt>
                <pt idx="6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131997176"/>
        <axId val="2131994152"/>
      </barChart>
      <catAx>
        <axId val="2131997176"/>
        <scaling>
          <orientation val="minMax"/>
        </scaling>
        <delete val="0"/>
        <axPos val="b"/>
        <majorTickMark val="out"/>
        <minorTickMark val="none"/>
        <tickLblPos val="nextTo"/>
        <crossAx val="2131994152"/>
        <crosses val="autoZero"/>
        <auto val="1"/>
        <lblAlgn val="ctr"/>
        <lblOffset val="100"/>
        <noMultiLvlLbl val="0"/>
      </catAx>
      <valAx>
        <axId val="213199415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131997176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ln>
              <a:prstDash val="solid"/>
            </a:ln>
          </spPr>
          <invertIfNegative val="0"/>
          <cat>
            <strRef>
              <f>Sheet1!$M$3:$M$9</f>
              <strCache>
                <ptCount val="7"/>
                <pt idx="0">
                  <v>Antal 6a for guide:</v>
                </pt>
                <pt idx="1">
                  <v>Antal 6a+ for guide:</v>
                </pt>
                <pt idx="2">
                  <v>Antal 6b for guide:</v>
                </pt>
                <pt idx="3">
                  <v>Antal 6b+ for guide:</v>
                </pt>
                <pt idx="4">
                  <v>Antal 6c for guide:</v>
                </pt>
                <pt idx="5">
                  <v>Antal 6c+ for guide:</v>
                </pt>
                <pt idx="6">
                  <v>Antal 7a for guide:</v>
                </pt>
              </strCache>
            </strRef>
          </cat>
          <val>
            <numRef>
              <f>Sheet1!$N$3:$N$9</f>
              <numCache>
                <formatCode>General</formatCode>
                <ptCount val="7"/>
                <pt idx="0">
                  <v>10</v>
                </pt>
                <pt idx="1">
                  <v>7</v>
                </pt>
                <pt idx="2">
                  <v>8</v>
                </pt>
                <pt idx="3">
                  <v>0</v>
                </pt>
                <pt idx="4">
                  <v>8</v>
                </pt>
                <pt idx="5">
                  <v>3</v>
                </pt>
                <pt idx="6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136143160"/>
        <axId val="2136128888"/>
      </barChart>
      <catAx>
        <axId val="2136143160"/>
        <scaling>
          <orientation val="minMax"/>
        </scaling>
        <delete val="0"/>
        <axPos val="b"/>
        <majorTickMark val="out"/>
        <minorTickMark val="none"/>
        <tickLblPos val="nextTo"/>
        <crossAx val="2136128888"/>
        <crosses val="autoZero"/>
        <auto val="1"/>
        <lblAlgn val="ctr"/>
        <lblOffset val="100"/>
        <noMultiLvlLbl val="0"/>
      </catAx>
      <valAx>
        <axId val="213612888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136143160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ln>
              <a:prstDash val="solid"/>
            </a:ln>
          </spPr>
          <invertIfNegative val="0"/>
          <cat>
            <strRef>
              <f>Sheet1!$P$3:$P$9</f>
              <strCache>
                <ptCount val="7"/>
                <pt idx="0">
                  <v>Antal 6a for min grade:</v>
                </pt>
                <pt idx="1">
                  <v>Antal 6a+ for min grade:</v>
                </pt>
                <pt idx="2">
                  <v>Antal 6b for min grade:</v>
                </pt>
                <pt idx="3">
                  <v>Antal 6b+ for min grade:</v>
                </pt>
                <pt idx="4">
                  <v>Antal 6c for min grade:</v>
                </pt>
                <pt idx="5">
                  <v>Antal 6c+ for min grade:</v>
                </pt>
                <pt idx="6">
                  <v>Antal 7a for min grade:</v>
                </pt>
              </strCache>
            </strRef>
          </cat>
          <val>
            <numRef>
              <f>Sheet1!$Q$3:$Q$9</f>
              <numCache>
                <formatCode>General</formatCode>
                <ptCount val="7"/>
                <pt idx="0">
                  <v>9</v>
                </pt>
                <pt idx="1">
                  <v>8</v>
                </pt>
                <pt idx="2">
                  <v>10</v>
                </pt>
                <pt idx="3">
                  <v>5</v>
                </pt>
                <pt idx="4">
                  <v>3</v>
                </pt>
                <pt idx="5">
                  <v>3</v>
                </pt>
                <pt idx="6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146074600"/>
        <axId val="2146076008"/>
      </barChart>
      <catAx>
        <axId val="2146074600"/>
        <scaling>
          <orientation val="minMax"/>
        </scaling>
        <delete val="0"/>
        <axPos val="b"/>
        <majorTickMark val="out"/>
        <minorTickMark val="none"/>
        <tickLblPos val="nextTo"/>
        <crossAx val="2146076008"/>
        <crosses val="autoZero"/>
        <auto val="1"/>
        <lblAlgn val="ctr"/>
        <lblOffset val="100"/>
        <noMultiLvlLbl val="0"/>
      </catAx>
      <valAx>
        <axId val="214607600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2146074600"/>
        <crosses val="autoZero"/>
        <crossBetween val="between"/>
      </valAx>
    </plotArea>
    <legend>
      <legendPos val="r"/>
      <layout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12</row>
      <rowOff>76200</rowOff>
    </from>
    <to>
      <col>13</col>
      <colOff>596900</colOff>
      <row>26</row>
      <rowOff>152400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25400</colOff>
      <row>28</row>
      <rowOff>114300</rowOff>
    </from>
    <to>
      <col>13</col>
      <colOff>571500</colOff>
      <row>42</row>
      <rowOff>177800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9</col>
      <colOff>12700</colOff>
      <row>45</row>
      <rowOff>63500</rowOff>
    </from>
    <to>
      <col>13</col>
      <colOff>584200</colOff>
      <row>59</row>
      <rowOff>177800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tabSelected="1" topLeftCell="A19" workbookViewId="0">
      <selection activeCell="A40" sqref="A40"/>
    </sheetView>
  </sheetViews>
  <sheetFormatPr baseColWidth="10" defaultRowHeight="15"/>
  <cols>
    <col width="16" customWidth="1" min="1" max="1"/>
    <col width="14.33203125" customWidth="1" min="2" max="2"/>
    <col width="11.33203125" customWidth="1" min="3" max="3"/>
    <col width="19.6640625" customWidth="1" min="10" max="10"/>
    <col width="22.5" customWidth="1" min="13" max="13"/>
    <col width="22" customWidth="1" min="16" max="16"/>
  </cols>
  <sheetData>
    <row r="1">
      <c r="A1" s="1" t="inlineStr">
        <is>
          <t>Navn</t>
        </is>
      </c>
      <c r="B1" s="1" t="inlineStr">
        <is>
          <t>27Crags grade</t>
        </is>
      </c>
      <c r="C1" s="1" t="inlineStr">
        <is>
          <t>Guide grade</t>
        </is>
      </c>
      <c r="D1" s="1" t="inlineStr">
        <is>
          <t>My grade</t>
        </is>
      </c>
      <c r="E1" s="1" t="inlineStr">
        <is>
          <t>Område</t>
        </is>
      </c>
      <c r="F1" s="1" t="inlineStr">
        <is>
          <t>Flash</t>
        </is>
      </c>
      <c r="G1" s="1" t="inlineStr">
        <is>
          <t>Dato</t>
        </is>
      </c>
    </row>
    <row r="2">
      <c r="A2" t="inlineStr">
        <is>
          <t>Mr Magnet</t>
        </is>
      </c>
      <c r="B2" t="inlineStr">
        <is>
          <t>6b</t>
        </is>
      </c>
      <c r="C2" t="inlineStr">
        <is>
          <t>6a+</t>
        </is>
      </c>
      <c r="D2" t="inlineStr">
        <is>
          <t>6a+</t>
        </is>
      </c>
      <c r="E2" t="inlineStr">
        <is>
          <t>Kjuge</t>
        </is>
      </c>
      <c r="F2" t="b">
        <v>0</v>
      </c>
      <c r="G2" s="2" t="n">
        <v>44395</v>
      </c>
    </row>
    <row r="3">
      <c r="A3" t="inlineStr">
        <is>
          <t>Ehmanns Sittstart</t>
        </is>
      </c>
      <c r="B3" t="inlineStr">
        <is>
          <t>6a</t>
        </is>
      </c>
      <c r="C3" t="inlineStr">
        <is>
          <t>6a</t>
        </is>
      </c>
      <c r="D3" t="inlineStr">
        <is>
          <t>6a</t>
        </is>
      </c>
      <c r="E3" t="inlineStr">
        <is>
          <t>Kjuge</t>
        </is>
      </c>
      <c r="F3" t="b">
        <v>0</v>
      </c>
      <c r="G3" s="2" t="n">
        <v>44756</v>
      </c>
      <c r="J3" t="inlineStr">
        <is>
          <t>Antal 6a for 27crags:</t>
        </is>
      </c>
      <c r="K3">
        <f>COUNTIF($B$2:$B$51,"6a")</f>
        <v/>
      </c>
      <c r="M3" t="inlineStr">
        <is>
          <t>Antal 6a for guide:</t>
        </is>
      </c>
      <c r="N3">
        <f>COUNTIF($C$2:$C$51,"6a")</f>
        <v/>
      </c>
      <c r="P3" t="inlineStr">
        <is>
          <t>Antal 6a for min grade:</t>
        </is>
      </c>
      <c r="Q3">
        <f>COUNTIF($D$2:$D$51,"6a")</f>
        <v/>
      </c>
    </row>
    <row r="4">
      <c r="A4" t="inlineStr">
        <is>
          <t>Mijares</t>
        </is>
      </c>
      <c r="B4" t="inlineStr">
        <is>
          <t>6a+</t>
        </is>
      </c>
      <c r="C4" t="inlineStr">
        <is>
          <t>6a+</t>
        </is>
      </c>
      <c r="D4" t="inlineStr">
        <is>
          <t>6b</t>
        </is>
      </c>
      <c r="E4" t="inlineStr">
        <is>
          <t>Kjuge</t>
        </is>
      </c>
      <c r="F4" t="b">
        <v>0</v>
      </c>
      <c r="G4" s="2" t="n">
        <v>44759</v>
      </c>
      <c r="J4" t="inlineStr">
        <is>
          <t>Antal 6a+ for 27crags:</t>
        </is>
      </c>
      <c r="K4">
        <f>COUNTIF($B$2:$B$50,"6a+")</f>
        <v/>
      </c>
      <c r="M4" t="inlineStr">
        <is>
          <t>Antal 6a+ for guide:</t>
        </is>
      </c>
      <c r="N4">
        <f>COUNTIF($C$2:$C$50,"6a+")</f>
        <v/>
      </c>
      <c r="P4" t="inlineStr">
        <is>
          <t>Antal 6a+ for min grade:</t>
        </is>
      </c>
      <c r="Q4">
        <f>COUNTIF($D$2:$D$50,"6a+")</f>
        <v/>
      </c>
    </row>
    <row r="5">
      <c r="A5" t="inlineStr">
        <is>
          <t>Daniels Kluriga Sva</t>
        </is>
      </c>
      <c r="B5" t="inlineStr">
        <is>
          <t>6a+</t>
        </is>
      </c>
      <c r="C5" t="inlineStr">
        <is>
          <t>6a+</t>
        </is>
      </c>
      <c r="D5" t="inlineStr">
        <is>
          <t>6b</t>
        </is>
      </c>
      <c r="E5" t="inlineStr">
        <is>
          <t>Kjuge</t>
        </is>
      </c>
      <c r="F5" t="b">
        <v>0</v>
      </c>
      <c r="G5" s="2" t="n">
        <v>44759</v>
      </c>
      <c r="J5" t="inlineStr">
        <is>
          <t>Antal 6b for 27crags:</t>
        </is>
      </c>
      <c r="K5">
        <f>COUNTIF($B$2:$B$50,"6b")</f>
        <v/>
      </c>
      <c r="M5" t="inlineStr">
        <is>
          <t>Antal 6b for guide:</t>
        </is>
      </c>
      <c r="N5">
        <f>COUNTIF($C$2:$C$50,"6b")</f>
        <v/>
      </c>
      <c r="P5" t="inlineStr">
        <is>
          <t>Antal 6b for min grade:</t>
        </is>
      </c>
      <c r="Q5">
        <f>COUNTIF($D$2:$D$50,"6b")</f>
        <v/>
      </c>
    </row>
    <row r="6">
      <c r="A6" t="inlineStr">
        <is>
          <t>Mother Fucking Diva</t>
        </is>
      </c>
      <c r="B6" t="inlineStr">
        <is>
          <t>6b</t>
        </is>
      </c>
      <c r="C6" t="inlineStr">
        <is>
          <t>6a</t>
        </is>
      </c>
      <c r="D6" t="inlineStr">
        <is>
          <t>6b</t>
        </is>
      </c>
      <c r="E6" t="inlineStr">
        <is>
          <t>Tokerud</t>
        </is>
      </c>
      <c r="F6" t="b">
        <v>0</v>
      </c>
      <c r="G6" s="2" t="n">
        <v>44769</v>
      </c>
      <c r="J6" t="inlineStr">
        <is>
          <t>Antal 6b+ for 27crags:</t>
        </is>
      </c>
      <c r="K6">
        <f>COUNTIF($B$2:$B$50,"6b+")</f>
        <v/>
      </c>
      <c r="M6" t="inlineStr">
        <is>
          <t>Antal 6b+ for guide:</t>
        </is>
      </c>
      <c r="N6">
        <f>COUNTIF($C$2:$C$50,"6b+")</f>
        <v/>
      </c>
      <c r="P6" t="inlineStr">
        <is>
          <t>Antal 6b+ for min grade:</t>
        </is>
      </c>
      <c r="Q6">
        <f>COUNTIF($D$2:$D$50,"6b+")</f>
        <v/>
      </c>
    </row>
    <row r="7">
      <c r="A7" t="inlineStr">
        <is>
          <t>Hale Poff Sit Start</t>
        </is>
      </c>
      <c r="B7" t="inlineStr">
        <is>
          <t>6b</t>
        </is>
      </c>
      <c r="C7" t="inlineStr">
        <is>
          <t>6b</t>
        </is>
      </c>
      <c r="D7" t="inlineStr">
        <is>
          <t>6b</t>
        </is>
      </c>
      <c r="E7" t="inlineStr">
        <is>
          <t>Tokerud</t>
        </is>
      </c>
      <c r="F7" t="b">
        <v>1</v>
      </c>
      <c r="G7" s="2" t="n">
        <v>44769</v>
      </c>
      <c r="J7" t="inlineStr">
        <is>
          <t>Antal 6c for 27crags:</t>
        </is>
      </c>
      <c r="K7">
        <f>COUNTIF($B$2:$B$50,"6c")</f>
        <v/>
      </c>
      <c r="M7" t="inlineStr">
        <is>
          <t>Antal 6c for guide:</t>
        </is>
      </c>
      <c r="N7">
        <f>COUNTIF($C$2:$C$50,"6c")</f>
        <v/>
      </c>
      <c r="P7" t="inlineStr">
        <is>
          <t>Antal 6c for min grade:</t>
        </is>
      </c>
      <c r="Q7">
        <f>COUNTIF($D$2:$D$50,"6c")</f>
        <v/>
      </c>
    </row>
    <row r="8">
      <c r="A8" t="inlineStr">
        <is>
          <t>Silverado</t>
        </is>
      </c>
      <c r="B8" t="inlineStr">
        <is>
          <t>6c+</t>
        </is>
      </c>
      <c r="C8" t="inlineStr">
        <is>
          <t>6c+</t>
        </is>
      </c>
      <c r="D8" t="inlineStr">
        <is>
          <t>6c+</t>
        </is>
      </c>
      <c r="E8" t="inlineStr">
        <is>
          <t>Østmarka</t>
        </is>
      </c>
      <c r="F8" t="b">
        <v>0</v>
      </c>
      <c r="G8" s="2" t="n">
        <v>44771</v>
      </c>
      <c r="J8" t="inlineStr">
        <is>
          <t>Antal 6c+ for 27crags:</t>
        </is>
      </c>
      <c r="K8">
        <f>COUNTIF($B$2:$B$50,"6c+")</f>
        <v/>
      </c>
      <c r="M8" t="inlineStr">
        <is>
          <t>Antal 6c+ for guide:</t>
        </is>
      </c>
      <c r="N8">
        <f>COUNTIF($C$2:$C$50,"6c+")</f>
        <v/>
      </c>
      <c r="P8" t="inlineStr">
        <is>
          <t>Antal 6c+ for min grade:</t>
        </is>
      </c>
      <c r="Q8">
        <f>COUNTIF($D$2:$D$50,"6c+")</f>
        <v/>
      </c>
    </row>
    <row r="9">
      <c r="A9" t="inlineStr">
        <is>
          <t>Mocca</t>
        </is>
      </c>
      <c r="B9" t="inlineStr">
        <is>
          <t>6a+</t>
        </is>
      </c>
      <c r="C9" t="inlineStr">
        <is>
          <t>6a+</t>
        </is>
      </c>
      <c r="D9" t="inlineStr">
        <is>
          <t>6a+</t>
        </is>
      </c>
      <c r="E9" t="inlineStr">
        <is>
          <t>Kjuge</t>
        </is>
      </c>
      <c r="F9" t="b">
        <v>1</v>
      </c>
      <c r="G9" s="2" t="n">
        <v>44851</v>
      </c>
      <c r="J9" t="inlineStr">
        <is>
          <t>Antal 7a for 27crags:</t>
        </is>
      </c>
      <c r="K9">
        <f>COUNTIF($B$2:$B$50,"7a")</f>
        <v/>
      </c>
      <c r="M9" t="inlineStr">
        <is>
          <t>Antal 7a for guide:</t>
        </is>
      </c>
      <c r="N9">
        <f>COUNTIF($C$2:$C$50,"7a")</f>
        <v/>
      </c>
      <c r="P9" t="inlineStr">
        <is>
          <t>Antal 7a for min grade:</t>
        </is>
      </c>
      <c r="Q9">
        <f>COUNTIF($D$2:$D$50,"7a")</f>
        <v/>
      </c>
    </row>
    <row r="10">
      <c r="A10" t="inlineStr">
        <is>
          <t>Mini Ghetto</t>
        </is>
      </c>
      <c r="B10" t="inlineStr">
        <is>
          <t>6b</t>
        </is>
      </c>
      <c r="C10" t="inlineStr">
        <is>
          <t>6b</t>
        </is>
      </c>
      <c r="D10" t="inlineStr">
        <is>
          <t>6b</t>
        </is>
      </c>
      <c r="E10" t="inlineStr">
        <is>
          <t>Kjuge</t>
        </is>
      </c>
      <c r="F10" t="b">
        <v>0</v>
      </c>
      <c r="G10" s="2" t="n">
        <v>44851</v>
      </c>
    </row>
    <row r="11">
      <c r="A11" t="inlineStr">
        <is>
          <t>Mr. Mantle</t>
        </is>
      </c>
      <c r="B11" t="inlineStr">
        <is>
          <t>6a+</t>
        </is>
      </c>
      <c r="C11" t="inlineStr">
        <is>
          <t>6b</t>
        </is>
      </c>
      <c r="D11" t="inlineStr">
        <is>
          <t>6b+</t>
        </is>
      </c>
      <c r="E11" t="inlineStr">
        <is>
          <t>Kjuge</t>
        </is>
      </c>
      <c r="F11" t="b">
        <v>0</v>
      </c>
      <c r="G11" s="2" t="n">
        <v>44851</v>
      </c>
    </row>
    <row r="12">
      <c r="A12" t="inlineStr">
        <is>
          <t>Flaming Star</t>
        </is>
      </c>
      <c r="B12" t="inlineStr">
        <is>
          <t>6c</t>
        </is>
      </c>
      <c r="C12" t="inlineStr">
        <is>
          <t>6c</t>
        </is>
      </c>
      <c r="D12" t="inlineStr">
        <is>
          <t>6c+</t>
        </is>
      </c>
      <c r="E12" t="inlineStr">
        <is>
          <t>Kjuge</t>
        </is>
      </c>
      <c r="F12" t="b">
        <v>0</v>
      </c>
      <c r="G12" s="2" t="n">
        <v>44852</v>
      </c>
    </row>
    <row r="13">
      <c r="A13" t="inlineStr">
        <is>
          <t>Glasögonorm</t>
        </is>
      </c>
      <c r="B13" t="inlineStr">
        <is>
          <t>6c</t>
        </is>
      </c>
      <c r="C13" t="inlineStr">
        <is>
          <t>6c</t>
        </is>
      </c>
      <c r="D13" t="inlineStr">
        <is>
          <t>6c</t>
        </is>
      </c>
      <c r="E13" t="inlineStr">
        <is>
          <t>Kjuge</t>
        </is>
      </c>
      <c r="F13" t="b">
        <v>0</v>
      </c>
      <c r="G13" s="2" t="n">
        <v>44852</v>
      </c>
    </row>
    <row r="14">
      <c r="A14" t="inlineStr">
        <is>
          <t>Onämnbar hund</t>
        </is>
      </c>
      <c r="B14" t="inlineStr">
        <is>
          <t>6a</t>
        </is>
      </c>
      <c r="C14" t="inlineStr">
        <is>
          <t>6a</t>
        </is>
      </c>
      <c r="D14" t="inlineStr">
        <is>
          <t>6a</t>
        </is>
      </c>
      <c r="E14" t="inlineStr">
        <is>
          <t>Kjuge</t>
        </is>
      </c>
      <c r="F14" t="b">
        <v>1</v>
      </c>
      <c r="G14" s="2" t="n">
        <v>44853</v>
      </c>
    </row>
    <row r="15">
      <c r="A15" t="inlineStr">
        <is>
          <t>Sommarnatt</t>
        </is>
      </c>
      <c r="B15" t="inlineStr">
        <is>
          <t>7a</t>
        </is>
      </c>
      <c r="C15" t="inlineStr">
        <is>
          <t>7a</t>
        </is>
      </c>
      <c r="D15" t="inlineStr">
        <is>
          <t>7a</t>
        </is>
      </c>
      <c r="E15" t="inlineStr">
        <is>
          <t>Kjuge</t>
        </is>
      </c>
      <c r="F15" t="b">
        <v>0</v>
      </c>
      <c r="G15" s="2" t="n">
        <v>44854</v>
      </c>
    </row>
    <row r="16">
      <c r="A16" t="inlineStr">
        <is>
          <t>High Way Sittstart</t>
        </is>
      </c>
      <c r="B16" t="inlineStr">
        <is>
          <t>6b+</t>
        </is>
      </c>
      <c r="C16" t="inlineStr">
        <is>
          <t>6c</t>
        </is>
      </c>
      <c r="D16" t="inlineStr">
        <is>
          <t>6b</t>
        </is>
      </c>
      <c r="E16" t="inlineStr">
        <is>
          <t>Västervik</t>
        </is>
      </c>
      <c r="F16" t="b">
        <v>1</v>
      </c>
      <c r="G16" s="2" t="n">
        <v>44992</v>
      </c>
    </row>
    <row r="17">
      <c r="A17" t="inlineStr">
        <is>
          <t>The Red Slab</t>
        </is>
      </c>
      <c r="B17" t="inlineStr">
        <is>
          <t>6c</t>
        </is>
      </c>
      <c r="C17" t="inlineStr">
        <is>
          <t>6c</t>
        </is>
      </c>
      <c r="D17" t="inlineStr">
        <is>
          <t>6b</t>
        </is>
      </c>
      <c r="E17" t="inlineStr">
        <is>
          <t>Västervik</t>
        </is>
      </c>
      <c r="F17" t="b">
        <v>1</v>
      </c>
      <c r="G17" s="2" t="n">
        <v>44992</v>
      </c>
    </row>
    <row r="18">
      <c r="A18" t="inlineStr">
        <is>
          <t>Full Contact Direkt (stå start)</t>
        </is>
      </c>
      <c r="B18" t="inlineStr">
        <is>
          <t>7a</t>
        </is>
      </c>
      <c r="C18" t="inlineStr">
        <is>
          <t>7a</t>
        </is>
      </c>
      <c r="D18" t="inlineStr">
        <is>
          <t>6c</t>
        </is>
      </c>
      <c r="E18" t="inlineStr">
        <is>
          <t>Västervik</t>
        </is>
      </c>
      <c r="F18" t="b">
        <v>0</v>
      </c>
      <c r="G18" s="2" t="n">
        <v>44992</v>
      </c>
    </row>
    <row r="19">
      <c r="A19" t="inlineStr">
        <is>
          <t>The Way Low</t>
        </is>
      </c>
      <c r="B19" t="inlineStr">
        <is>
          <t>7a</t>
        </is>
      </c>
      <c r="C19" t="inlineStr">
        <is>
          <t>7a</t>
        </is>
      </c>
      <c r="D19" t="inlineStr">
        <is>
          <t>6c</t>
        </is>
      </c>
      <c r="E19" t="inlineStr">
        <is>
          <t>Västervik</t>
        </is>
      </c>
      <c r="F19" t="b">
        <v>0</v>
      </c>
      <c r="G19" s="2" t="n">
        <v>44992</v>
      </c>
    </row>
    <row r="20">
      <c r="A20" t="inlineStr">
        <is>
          <t>Mållinjen</t>
        </is>
      </c>
      <c r="B20" t="inlineStr">
        <is>
          <t>6b</t>
        </is>
      </c>
      <c r="C20" t="inlineStr">
        <is>
          <t>6b</t>
        </is>
      </c>
      <c r="D20" t="inlineStr">
        <is>
          <t>6b</t>
        </is>
      </c>
      <c r="E20" t="inlineStr">
        <is>
          <t>Kjuge</t>
        </is>
      </c>
      <c r="F20" t="b">
        <v>0</v>
      </c>
      <c r="G20" s="2" t="n">
        <v>44993</v>
      </c>
    </row>
    <row r="21">
      <c r="A21" t="inlineStr">
        <is>
          <t>Klassiker Direkt</t>
        </is>
      </c>
      <c r="B21" t="inlineStr">
        <is>
          <t>6a+</t>
        </is>
      </c>
      <c r="C21" t="inlineStr">
        <is>
          <t>6a</t>
        </is>
      </c>
      <c r="D21" t="inlineStr">
        <is>
          <t>6a+</t>
        </is>
      </c>
      <c r="E21" t="inlineStr">
        <is>
          <t>Kjuge</t>
        </is>
      </c>
      <c r="F21" t="b">
        <v>1</v>
      </c>
      <c r="G21" s="2" t="n">
        <v>44995</v>
      </c>
    </row>
    <row r="22">
      <c r="A22" t="inlineStr">
        <is>
          <t>Mandomsprövet</t>
        </is>
      </c>
      <c r="B22" t="inlineStr">
        <is>
          <t>6a</t>
        </is>
      </c>
      <c r="C22" t="inlineStr">
        <is>
          <t>6a</t>
        </is>
      </c>
      <c r="D22" t="inlineStr">
        <is>
          <t>6a</t>
        </is>
      </c>
      <c r="E22" t="inlineStr">
        <is>
          <t>Kjuge</t>
        </is>
      </c>
      <c r="F22" t="b">
        <v>1</v>
      </c>
      <c r="G22" s="2" t="n">
        <v>44995</v>
      </c>
    </row>
    <row r="23">
      <c r="A23" t="inlineStr">
        <is>
          <t>Björnkram Ståstart</t>
        </is>
      </c>
      <c r="B23" t="inlineStr">
        <is>
          <t>6a</t>
        </is>
      </c>
      <c r="C23" t="inlineStr">
        <is>
          <t>6a</t>
        </is>
      </c>
      <c r="D23" t="inlineStr">
        <is>
          <t>6a</t>
        </is>
      </c>
      <c r="E23" t="inlineStr">
        <is>
          <t>Kjuge</t>
        </is>
      </c>
      <c r="F23" t="b">
        <v>1</v>
      </c>
      <c r="G23" s="2" t="n">
        <v>44995</v>
      </c>
    </row>
    <row r="24">
      <c r="A24" t="inlineStr">
        <is>
          <t>Maja</t>
        </is>
      </c>
      <c r="B24" t="inlineStr">
        <is>
          <t>6a</t>
        </is>
      </c>
      <c r="C24" t="inlineStr">
        <is>
          <t>6a</t>
        </is>
      </c>
      <c r="D24" t="inlineStr">
        <is>
          <t>6a</t>
        </is>
      </c>
      <c r="E24" t="inlineStr">
        <is>
          <t>Västervik</t>
        </is>
      </c>
      <c r="F24" t="b">
        <v>1</v>
      </c>
      <c r="G24" s="2" t="n">
        <v>45019</v>
      </c>
    </row>
    <row r="25">
      <c r="A25" t="inlineStr">
        <is>
          <t>My Way Stand Start</t>
        </is>
      </c>
      <c r="B25" t="inlineStr">
        <is>
          <t>6c</t>
        </is>
      </c>
      <c r="C25" t="inlineStr">
        <is>
          <t>6c</t>
        </is>
      </c>
      <c r="D25" t="inlineStr">
        <is>
          <t>6b+</t>
        </is>
      </c>
      <c r="E25" t="inlineStr">
        <is>
          <t>Västervik</t>
        </is>
      </c>
      <c r="F25" t="b">
        <v>0</v>
      </c>
      <c r="G25" s="2" t="n">
        <v>45019</v>
      </c>
    </row>
    <row r="26">
      <c r="A26" t="inlineStr">
        <is>
          <t>SR</t>
        </is>
      </c>
      <c r="B26" t="inlineStr">
        <is>
          <t>6a</t>
        </is>
      </c>
      <c r="C26" t="inlineStr">
        <is>
          <t>6a</t>
        </is>
      </c>
      <c r="D26" t="inlineStr">
        <is>
          <t>6a</t>
        </is>
      </c>
      <c r="E26" t="inlineStr">
        <is>
          <t>Västervik</t>
        </is>
      </c>
      <c r="F26" t="b">
        <v>1</v>
      </c>
      <c r="G26" s="2" t="n">
        <v>45020</v>
      </c>
    </row>
    <row r="27">
      <c r="A27" t="inlineStr">
        <is>
          <t>Techno Trip</t>
        </is>
      </c>
      <c r="B27" t="inlineStr">
        <is>
          <t>6a+</t>
        </is>
      </c>
      <c r="C27" t="inlineStr">
        <is>
          <t>6a</t>
        </is>
      </c>
      <c r="D27" t="inlineStr">
        <is>
          <t>6a</t>
        </is>
      </c>
      <c r="E27" t="inlineStr">
        <is>
          <t>Västervik</t>
        </is>
      </c>
      <c r="F27" t="b">
        <v>1</v>
      </c>
      <c r="G27" s="2" t="n">
        <v>45020</v>
      </c>
    </row>
    <row r="28">
      <c r="A28" t="inlineStr">
        <is>
          <t>Örnen</t>
        </is>
      </c>
      <c r="B28" t="inlineStr">
        <is>
          <t>6b</t>
        </is>
      </c>
      <c r="C28" t="inlineStr">
        <is>
          <t>6b</t>
        </is>
      </c>
      <c r="D28" t="inlineStr">
        <is>
          <t>6b</t>
        </is>
      </c>
      <c r="E28" t="inlineStr">
        <is>
          <t>Västervik</t>
        </is>
      </c>
      <c r="F28" t="b">
        <v>0</v>
      </c>
      <c r="G28" s="2" t="n">
        <v>45020</v>
      </c>
    </row>
    <row r="29">
      <c r="A29" t="inlineStr">
        <is>
          <t>Engard</t>
        </is>
      </c>
      <c r="B29" t="inlineStr">
        <is>
          <t>6b</t>
        </is>
      </c>
      <c r="C29" t="inlineStr">
        <is>
          <t>6b</t>
        </is>
      </c>
      <c r="D29" t="inlineStr">
        <is>
          <t>6b</t>
        </is>
      </c>
      <c r="E29" t="inlineStr">
        <is>
          <t>Västervik</t>
        </is>
      </c>
      <c r="F29" t="b">
        <v>1</v>
      </c>
      <c r="G29" s="2" t="n">
        <v>45020</v>
      </c>
    </row>
    <row r="30">
      <c r="A30" t="inlineStr">
        <is>
          <t>Plopp</t>
        </is>
      </c>
      <c r="B30" t="inlineStr">
        <is>
          <t>6b+</t>
        </is>
      </c>
      <c r="C30" t="inlineStr">
        <is>
          <t>6c+</t>
        </is>
      </c>
      <c r="D30" t="inlineStr">
        <is>
          <t>6b+</t>
        </is>
      </c>
      <c r="E30" t="inlineStr">
        <is>
          <t>Västervik</t>
        </is>
      </c>
      <c r="F30" t="b">
        <v>0</v>
      </c>
      <c r="G30" s="2" t="n">
        <v>45020</v>
      </c>
    </row>
    <row r="31">
      <c r="A31" t="inlineStr">
        <is>
          <t>Beat</t>
        </is>
      </c>
      <c r="B31" t="inlineStr">
        <is>
          <t>7a</t>
        </is>
      </c>
      <c r="C31" t="inlineStr">
        <is>
          <t>7a</t>
        </is>
      </c>
      <c r="D31" t="inlineStr">
        <is>
          <t>7a</t>
        </is>
      </c>
      <c r="E31" t="inlineStr">
        <is>
          <t>Västervik</t>
        </is>
      </c>
      <c r="F31" t="b">
        <v>0</v>
      </c>
      <c r="G31" s="2" t="n">
        <v>45020</v>
      </c>
    </row>
    <row r="32">
      <c r="A32" t="inlineStr">
        <is>
          <t>Colosseum</t>
        </is>
      </c>
      <c r="B32" t="inlineStr">
        <is>
          <t>6c+</t>
        </is>
      </c>
      <c r="C32" t="inlineStr">
        <is>
          <t>6c+</t>
        </is>
      </c>
      <c r="D32" t="inlineStr">
        <is>
          <t>6c+</t>
        </is>
      </c>
      <c r="E32" t="inlineStr">
        <is>
          <t>Kjuge</t>
        </is>
      </c>
      <c r="F32" t="b">
        <v>0</v>
      </c>
      <c r="G32" s="2" t="n">
        <v>45093</v>
      </c>
    </row>
    <row r="33">
      <c r="A33" t="inlineStr">
        <is>
          <t>Splinter</t>
        </is>
      </c>
      <c r="B33" t="inlineStr">
        <is>
          <t>6a</t>
        </is>
      </c>
      <c r="C33" t="inlineStr">
        <is>
          <t>6a</t>
        </is>
      </c>
      <c r="D33" t="inlineStr">
        <is>
          <t>6a</t>
        </is>
      </c>
      <c r="E33" t="inlineStr">
        <is>
          <t>Kjuge</t>
        </is>
      </c>
      <c r="F33" t="b">
        <v>1</v>
      </c>
      <c r="G33" s="2" t="n">
        <v>45093</v>
      </c>
    </row>
    <row r="34">
      <c r="A34" t="inlineStr">
        <is>
          <t>Lilla Pissråttan</t>
        </is>
      </c>
      <c r="B34" t="inlineStr">
        <is>
          <t>6a+</t>
        </is>
      </c>
      <c r="C34" t="inlineStr">
        <is>
          <t>6a+</t>
        </is>
      </c>
      <c r="D34" t="inlineStr">
        <is>
          <t>6a+</t>
        </is>
      </c>
      <c r="E34" t="inlineStr">
        <is>
          <t>Kjuge</t>
        </is>
      </c>
      <c r="F34" t="b">
        <v>0</v>
      </c>
      <c r="G34" s="2" t="n">
        <v>45096</v>
      </c>
    </row>
    <row r="35">
      <c r="A35" t="inlineStr">
        <is>
          <t>Duck</t>
        </is>
      </c>
      <c r="B35" t="inlineStr">
        <is>
          <t>6a</t>
        </is>
      </c>
      <c r="C35" t="inlineStr">
        <is>
          <t>5+</t>
        </is>
      </c>
      <c r="D35" t="inlineStr">
        <is>
          <t>6b+</t>
        </is>
      </c>
      <c r="E35" t="inlineStr">
        <is>
          <t>Kjuge</t>
        </is>
      </c>
      <c r="F35" t="b">
        <v>0</v>
      </c>
      <c r="G35" s="2" t="n">
        <v>45096</v>
      </c>
    </row>
    <row r="36">
      <c r="A36" t="inlineStr">
        <is>
          <t>Bulldozer</t>
        </is>
      </c>
      <c r="B36" t="inlineStr">
        <is>
          <t>6a+</t>
        </is>
      </c>
      <c r="C36" t="inlineStr">
        <is>
          <t>6a+</t>
        </is>
      </c>
      <c r="D36" t="inlineStr">
        <is>
          <t>6a+</t>
        </is>
      </c>
      <c r="E36" t="inlineStr">
        <is>
          <t>Kjuge</t>
        </is>
      </c>
      <c r="F36" t="b">
        <v>1</v>
      </c>
      <c r="G36" s="2" t="n">
        <v>45096</v>
      </c>
    </row>
    <row r="37">
      <c r="A37" t="inlineStr">
        <is>
          <t>En helt ny Corolla</t>
        </is>
      </c>
      <c r="B37" t="inlineStr">
        <is>
          <t>6b</t>
        </is>
      </c>
      <c r="C37" t="inlineStr">
        <is>
          <t>6a+</t>
        </is>
      </c>
      <c r="D37" t="inlineStr">
        <is>
          <t>6a</t>
        </is>
      </c>
      <c r="E37" t="inlineStr">
        <is>
          <t>Kjuge</t>
        </is>
      </c>
      <c r="F37" t="b">
        <v>1</v>
      </c>
      <c r="G37" s="2" t="n">
        <v>45207</v>
      </c>
    </row>
    <row r="38">
      <c r="A38" t="inlineStr">
        <is>
          <t>Cannon ball</t>
        </is>
      </c>
      <c r="B38" t="inlineStr">
        <is>
          <t>7a</t>
        </is>
      </c>
      <c r="C38" t="inlineStr">
        <is>
          <t>6c</t>
        </is>
      </c>
      <c r="D38" t="inlineStr">
        <is>
          <t>7a</t>
        </is>
      </c>
      <c r="E38" t="inlineStr">
        <is>
          <t>Kjuge</t>
        </is>
      </c>
      <c r="F38" t="b">
        <v>0</v>
      </c>
      <c r="G38" s="2" t="n">
        <v>45374</v>
      </c>
    </row>
    <row r="39">
      <c r="A39" t="inlineStr">
        <is>
          <t>Nä, men Jeppe</t>
        </is>
      </c>
      <c r="B39" t="inlineStr">
        <is>
          <t>6a+</t>
        </is>
      </c>
      <c r="C39" t="inlineStr">
        <is>
          <t>6b</t>
        </is>
      </c>
      <c r="D39" t="inlineStr">
        <is>
          <t>6a+</t>
        </is>
      </c>
      <c r="E39" t="inlineStr">
        <is>
          <t>Kjuge</t>
        </is>
      </c>
      <c r="F39" t="b">
        <v>0</v>
      </c>
      <c r="G39" s="2" t="n">
        <v>45377</v>
      </c>
    </row>
    <row r="40">
      <c r="A40" t="inlineStr">
        <is>
          <t>Fina Areten</t>
        </is>
      </c>
      <c r="B40" t="inlineStr">
        <is>
          <t>7a</t>
        </is>
      </c>
      <c r="C40" t="inlineStr">
        <is>
          <t>7a</t>
        </is>
      </c>
      <c r="D40" t="inlineStr">
        <is>
          <t>7a</t>
        </is>
      </c>
      <c r="E40" t="inlineStr">
        <is>
          <t>Kjuge</t>
        </is>
      </c>
      <c r="F40" t="b">
        <v>0</v>
      </c>
      <c r="G40" s="3" t="n">
        <v>45378</v>
      </c>
    </row>
    <row r="41">
      <c r="A41" t="inlineStr">
        <is>
          <t>Gonflach</t>
        </is>
      </c>
      <c r="B41" t="inlineStr">
        <is>
          <t>6c</t>
        </is>
      </c>
      <c r="C41" t="inlineStr">
        <is>
          <t>6c</t>
        </is>
      </c>
      <c r="D41" t="inlineStr">
        <is>
          <t>6b+</t>
        </is>
      </c>
      <c r="E41" t="inlineStr">
        <is>
          <t>Kjuge</t>
        </is>
      </c>
      <c r="F41" t="b">
        <v>0</v>
      </c>
      <c r="G41" s="2" t="n">
        <v>45472</v>
      </c>
    </row>
    <row r="42">
      <c r="A42" t="inlineStr">
        <is>
          <t>Långa farbrorn</t>
        </is>
      </c>
      <c r="B42" t="inlineStr">
        <is>
          <t>7a</t>
        </is>
      </c>
      <c r="C42" t="inlineStr">
        <is>
          <t>7a</t>
        </is>
      </c>
      <c r="D42" t="inlineStr">
        <is>
          <t>7a</t>
        </is>
      </c>
      <c r="E42" t="inlineStr">
        <is>
          <t>Västervik</t>
        </is>
      </c>
      <c r="F42" t="b">
        <v>0</v>
      </c>
      <c r="G42" s="2" t="n">
        <v>45469</v>
      </c>
    </row>
    <row r="43">
      <c r="A43" t="inlineStr">
        <is>
          <t>Corporate Express</t>
        </is>
      </c>
      <c r="B43" t="inlineStr">
        <is>
          <t>6b</t>
        </is>
      </c>
      <c r="C43" t="inlineStr">
        <is>
          <t>6c</t>
        </is>
      </c>
      <c r="D43" t="inlineStr">
        <is>
          <t>6a+</t>
        </is>
      </c>
      <c r="E43" t="inlineStr">
        <is>
          <t>Västervik</t>
        </is>
      </c>
      <c r="F43" t="b">
        <v>1</v>
      </c>
      <c r="G43" s="2" t="n">
        <v>45469</v>
      </c>
    </row>
    <row r="44">
      <c r="A44" t="inlineStr">
        <is>
          <t>Johans Arete</t>
        </is>
      </c>
      <c r="B44" t="inlineStr">
        <is>
          <t>6b</t>
        </is>
      </c>
      <c r="C44" t="inlineStr">
        <is>
          <t>6b</t>
        </is>
      </c>
      <c r="D44" t="inlineStr">
        <is>
          <t>6a+</t>
        </is>
      </c>
      <c r="E44" t="inlineStr">
        <is>
          <t>Västervik</t>
        </is>
      </c>
      <c r="F44" t="b">
        <v>1</v>
      </c>
      <c r="G44" s="2" t="n">
        <v>45469</v>
      </c>
    </row>
    <row r="45">
      <c r="A45" t="inlineStr">
        <is>
          <t>Gröna Lanternan</t>
        </is>
      </c>
      <c r="B45" t="inlineStr">
        <is>
          <t>7a+</t>
        </is>
      </c>
      <c r="C45" t="inlineStr">
        <is>
          <t>7a</t>
        </is>
      </c>
      <c r="D45" t="inlineStr">
        <is>
          <t>7a+</t>
        </is>
      </c>
      <c r="E45" t="inlineStr">
        <is>
          <t>Västervik</t>
        </is>
      </c>
      <c r="F45" t="b">
        <v>0</v>
      </c>
      <c r="G45" s="2" t="n">
        <v>45471</v>
      </c>
    </row>
    <row r="46">
      <c r="A46" t="inlineStr">
        <is>
          <t>test</t>
        </is>
      </c>
      <c r="B46" t="inlineStr">
        <is>
          <t>8a</t>
        </is>
      </c>
      <c r="C46" t="inlineStr">
        <is>
          <t>8c</t>
        </is>
      </c>
      <c r="D46" t="inlineStr">
        <is>
          <t>9a</t>
        </is>
      </c>
      <c r="E46" t="inlineStr">
        <is>
          <t>Font</t>
        </is>
      </c>
      <c r="F46" t="n">
        <v>0</v>
      </c>
      <c r="G46" s="4" t="n">
        <v>46174</v>
      </c>
    </row>
    <row r="47">
      <c r="A47" t="inlineStr">
        <is>
          <t>Al Greene</t>
        </is>
      </c>
      <c r="B47" t="inlineStr">
        <is>
          <t>6a</t>
        </is>
      </c>
      <c r="D47" t="inlineStr">
        <is>
          <t>6a</t>
        </is>
      </c>
      <c r="E47" t="inlineStr">
        <is>
          <t>Kjugekull</t>
        </is>
      </c>
      <c r="F47" t="n">
        <v>0</v>
      </c>
      <c r="G47" s="4" t="n">
        <v>45768</v>
      </c>
    </row>
    <row r="48">
      <c r="A48" t="inlineStr">
        <is>
          <t>Nisu</t>
        </is>
      </c>
      <c r="B48" t="inlineStr">
        <is>
          <t>7a</t>
        </is>
      </c>
      <c r="C48" t="inlineStr"/>
      <c r="D48" t="inlineStr">
        <is>
          <t>6c</t>
        </is>
      </c>
      <c r="E48" t="inlineStr">
        <is>
          <t>Albarracín</t>
        </is>
      </c>
      <c r="F48" t="n">
        <v>0</v>
      </c>
      <c r="G48" s="4" t="n">
        <v>45213</v>
      </c>
    </row>
    <row r="49">
      <c r="A49" t="inlineStr">
        <is>
          <t>Zanzibar</t>
        </is>
      </c>
      <c r="B49" t="inlineStr">
        <is>
          <t>7a+</t>
        </is>
      </c>
      <c r="D49" t="inlineStr">
        <is>
          <t>7a+</t>
        </is>
      </c>
      <c r="E49" t="inlineStr">
        <is>
          <t>Rocklands</t>
        </is>
      </c>
      <c r="F49" t="n">
        <v>0</v>
      </c>
      <c r="G49" s="4" t="n">
        <v>45122</v>
      </c>
    </row>
  </sheetData>
  <pageMargins left="0.75" right="0.75" top="1" bottom="1" header="0.5" footer="0.5"/>
  <pageSetup orientation="portrait" paperSize="9" horizontalDpi="4294967292" vertic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Emami Riis</dc:creator>
  <dcterms:created xsi:type="dcterms:W3CDTF">2023-04-10T08:38:12Z</dcterms:created>
  <dcterms:modified xsi:type="dcterms:W3CDTF">2026-06-05T08:09:52Z</dcterms:modified>
  <cp:lastModifiedBy>Daniel Emami Riis</cp:lastModifiedBy>
</cp:coreProperties>
</file>