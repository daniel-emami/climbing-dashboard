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0" windowWidth="24920" windowHeight="16060" tabRatio="500" firstSheet="0" activeTab="0" autoFilterDateGrouping="1"/>
  </bookViews>
  <sheets>
    <sheet name="Sheet1" sheetId="1" state="visible" r:id="rId1"/>
  </sheets>
  <definedNames/>
  <calcPr calcId="140000" fullCalcOnLoad="1" concurrentCalc="0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14" fontId="0" fillId="0" borderId="0" pivotButton="0" quotePrefix="0" xfId="0"/>
    <xf numFmtId="14" fontId="4" fillId="0" borderId="0" pivotButton="0" quotePrefix="0" xfId="0"/>
    <xf numFmtId="164" fontId="0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Sheet1!$J$3:$J$9</f>
              <strCache>
                <ptCount val="7"/>
                <pt idx="0">
                  <v>Antal 6a for 27crags:</v>
                </pt>
                <pt idx="1">
                  <v>Antal 6a+ for 27crags:</v>
                </pt>
                <pt idx="2">
                  <v>Antal 6b for 27crags:</v>
                </pt>
                <pt idx="3">
                  <v>Antal 6b+ for 27crags:</v>
                </pt>
                <pt idx="4">
                  <v>Antal 6c for 27crags:</v>
                </pt>
                <pt idx="5">
                  <v>Antal 6c+ for 27crags:</v>
                </pt>
                <pt idx="6">
                  <v>Antal 7a for 27crags:</v>
                </pt>
              </strCache>
            </strRef>
          </cat>
          <val>
            <numRef>
              <f>Sheet1!$K$3:$K$9</f>
              <numCache>
                <formatCode>General</formatCode>
                <ptCount val="7"/>
                <pt idx="0">
                  <v>8</v>
                </pt>
                <pt idx="1">
                  <v>9</v>
                </pt>
                <pt idx="2">
                  <v>10</v>
                </pt>
                <pt idx="3">
                  <v>2</v>
                </pt>
                <pt idx="4">
                  <v>5</v>
                </pt>
                <pt idx="5">
                  <v>2</v>
                </pt>
                <pt idx="6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31997176"/>
        <axId val="2131994152"/>
      </barChart>
      <catAx>
        <axId val="2131997176"/>
        <scaling>
          <orientation val="minMax"/>
        </scaling>
        <delete val="0"/>
        <axPos val="b"/>
        <majorTickMark val="out"/>
        <minorTickMark val="none"/>
        <tickLblPos val="nextTo"/>
        <crossAx val="2131994152"/>
        <crosses val="autoZero"/>
        <auto val="1"/>
        <lblAlgn val="ctr"/>
        <lblOffset val="100"/>
        <noMultiLvlLbl val="0"/>
      </catAx>
      <valAx>
        <axId val="2131994152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31997176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Sheet1!$M$3:$M$9</f>
              <strCache>
                <ptCount val="7"/>
                <pt idx="0">
                  <v>Antal 6a for guide:</v>
                </pt>
                <pt idx="1">
                  <v>Antal 6a+ for guide:</v>
                </pt>
                <pt idx="2">
                  <v>Antal 6b for guide:</v>
                </pt>
                <pt idx="3">
                  <v>Antal 6b+ for guide:</v>
                </pt>
                <pt idx="4">
                  <v>Antal 6c for guide:</v>
                </pt>
                <pt idx="5">
                  <v>Antal 6c+ for guide:</v>
                </pt>
                <pt idx="6">
                  <v>Antal 7a for guide:</v>
                </pt>
              </strCache>
            </strRef>
          </cat>
          <val>
            <numRef>
              <f>Sheet1!$N$3:$N$9</f>
              <numCache>
                <formatCode>General</formatCode>
                <ptCount val="7"/>
                <pt idx="0">
                  <v>10</v>
                </pt>
                <pt idx="1">
                  <v>7</v>
                </pt>
                <pt idx="2">
                  <v>8</v>
                </pt>
                <pt idx="3">
                  <v>0</v>
                </pt>
                <pt idx="4">
                  <v>8</v>
                </pt>
                <pt idx="5">
                  <v>3</v>
                </pt>
                <pt idx="6">
                  <v>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36143160"/>
        <axId val="2136128888"/>
      </barChart>
      <catAx>
        <axId val="2136143160"/>
        <scaling>
          <orientation val="minMax"/>
        </scaling>
        <delete val="0"/>
        <axPos val="b"/>
        <majorTickMark val="out"/>
        <minorTickMark val="none"/>
        <tickLblPos val="nextTo"/>
        <crossAx val="2136128888"/>
        <crosses val="autoZero"/>
        <auto val="1"/>
        <lblAlgn val="ctr"/>
        <lblOffset val="100"/>
        <noMultiLvlLbl val="0"/>
      </catAx>
      <valAx>
        <axId val="2136128888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3614316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Sheet1!$P$3:$P$9</f>
              <strCache>
                <ptCount val="7"/>
                <pt idx="0">
                  <v>Antal 6a for min grade:</v>
                </pt>
                <pt idx="1">
                  <v>Antal 6a+ for min grade:</v>
                </pt>
                <pt idx="2">
                  <v>Antal 6b for min grade:</v>
                </pt>
                <pt idx="3">
                  <v>Antal 6b+ for min grade:</v>
                </pt>
                <pt idx="4">
                  <v>Antal 6c for min grade:</v>
                </pt>
                <pt idx="5">
                  <v>Antal 6c+ for min grade:</v>
                </pt>
                <pt idx="6">
                  <v>Antal 7a for min grade:</v>
                </pt>
              </strCache>
            </strRef>
          </cat>
          <val>
            <numRef>
              <f>Sheet1!$Q$3:$Q$9</f>
              <numCache>
                <formatCode>General</formatCode>
                <ptCount val="7"/>
                <pt idx="0">
                  <v>9</v>
                </pt>
                <pt idx="1">
                  <v>8</v>
                </pt>
                <pt idx="2">
                  <v>10</v>
                </pt>
                <pt idx="3">
                  <v>5</v>
                </pt>
                <pt idx="4">
                  <v>3</v>
                </pt>
                <pt idx="5">
                  <v>3</v>
                </pt>
                <pt idx="6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146074600"/>
        <axId val="2146076008"/>
      </barChart>
      <catAx>
        <axId val="2146074600"/>
        <scaling>
          <orientation val="minMax"/>
        </scaling>
        <delete val="0"/>
        <axPos val="b"/>
        <majorTickMark val="out"/>
        <minorTickMark val="none"/>
        <tickLblPos val="nextTo"/>
        <crossAx val="2146076008"/>
        <crosses val="autoZero"/>
        <auto val="1"/>
        <lblAlgn val="ctr"/>
        <lblOffset val="100"/>
        <noMultiLvlLbl val="0"/>
      </catAx>
      <valAx>
        <axId val="2146076008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214607460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12</row>
      <rowOff>76200</rowOff>
    </from>
    <to>
      <col>13</col>
      <colOff>596900</colOff>
      <row>26</row>
      <rowOff>152400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25400</colOff>
      <row>28</row>
      <rowOff>114300</rowOff>
    </from>
    <to>
      <col>13</col>
      <colOff>571500</colOff>
      <row>42</row>
      <rowOff>177800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9</col>
      <colOff>12700</colOff>
      <row>45</row>
      <rowOff>63500</rowOff>
    </from>
    <to>
      <col>13</col>
      <colOff>584200</colOff>
      <row>59</row>
      <rowOff>177800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5"/>
  <sheetViews>
    <sheetView tabSelected="1" topLeftCell="A19" workbookViewId="0">
      <selection activeCell="A40" sqref="A40"/>
    </sheetView>
  </sheetViews>
  <sheetFormatPr baseColWidth="10" defaultRowHeight="15"/>
  <cols>
    <col width="16" customWidth="1" min="1" max="1"/>
    <col width="14.33203125" customWidth="1" min="2" max="2"/>
    <col width="11.33203125" customWidth="1" min="3" max="3"/>
    <col width="19.6640625" customWidth="1" min="10" max="10"/>
    <col width="22.5" customWidth="1" min="13" max="13"/>
    <col width="22" customWidth="1" min="16" max="16"/>
  </cols>
  <sheetData>
    <row r="1">
      <c r="A1" s="1" t="inlineStr">
        <is>
          <t>Navn</t>
        </is>
      </c>
      <c r="B1" s="1" t="inlineStr">
        <is>
          <t>27Crags grade</t>
        </is>
      </c>
      <c r="C1" s="1" t="inlineStr">
        <is>
          <t>Guide grade</t>
        </is>
      </c>
      <c r="D1" s="1" t="inlineStr">
        <is>
          <t>My grade</t>
        </is>
      </c>
      <c r="E1" s="1" t="inlineStr">
        <is>
          <t>Område</t>
        </is>
      </c>
      <c r="F1" s="1" t="inlineStr">
        <is>
          <t>Flash</t>
        </is>
      </c>
      <c r="G1" s="1" t="inlineStr">
        <is>
          <t>Dato</t>
        </is>
      </c>
      <c r="H1" t="inlineStr">
        <is>
          <t>Climber</t>
        </is>
      </c>
    </row>
    <row r="2">
      <c r="A2" t="inlineStr">
        <is>
          <t>Mr Magnet</t>
        </is>
      </c>
      <c r="B2" t="inlineStr">
        <is>
          <t>6b</t>
        </is>
      </c>
      <c r="C2" t="inlineStr">
        <is>
          <t>6a+</t>
        </is>
      </c>
      <c r="D2" t="inlineStr">
        <is>
          <t>6a+</t>
        </is>
      </c>
      <c r="E2" t="inlineStr">
        <is>
          <t>Kjuge</t>
        </is>
      </c>
      <c r="F2" t="b">
        <v>0</v>
      </c>
      <c r="G2" s="2" t="n">
        <v>44395</v>
      </c>
    </row>
    <row r="3">
      <c r="A3" t="inlineStr">
        <is>
          <t>Ehmanns Sittstart</t>
        </is>
      </c>
      <c r="B3" t="inlineStr">
        <is>
          <t>6a</t>
        </is>
      </c>
      <c r="C3" t="inlineStr">
        <is>
          <t>6a</t>
        </is>
      </c>
      <c r="D3" t="inlineStr">
        <is>
          <t>6a</t>
        </is>
      </c>
      <c r="E3" t="inlineStr">
        <is>
          <t>Kjuge</t>
        </is>
      </c>
      <c r="F3" t="b">
        <v>0</v>
      </c>
      <c r="G3" s="2" t="n">
        <v>44756</v>
      </c>
      <c r="J3" t="inlineStr">
        <is>
          <t>Antal 6a for 27crags:</t>
        </is>
      </c>
      <c r="K3">
        <f>COUNTIF($B$2:$B$51,"6a")</f>
        <v/>
      </c>
      <c r="M3" t="inlineStr">
        <is>
          <t>Antal 6a for guide:</t>
        </is>
      </c>
      <c r="N3">
        <f>COUNTIF($C$2:$C$51,"6a")</f>
        <v/>
      </c>
      <c r="P3" t="inlineStr">
        <is>
          <t>Antal 6a for min grade:</t>
        </is>
      </c>
      <c r="Q3">
        <f>COUNTIF($D$2:$D$51,"6a")</f>
        <v/>
      </c>
    </row>
    <row r="4">
      <c r="A4" t="inlineStr">
        <is>
          <t>Mijares</t>
        </is>
      </c>
      <c r="B4" t="inlineStr">
        <is>
          <t>6a+</t>
        </is>
      </c>
      <c r="C4" t="inlineStr">
        <is>
          <t>6a+</t>
        </is>
      </c>
      <c r="D4" t="inlineStr">
        <is>
          <t>6b</t>
        </is>
      </c>
      <c r="E4" t="inlineStr">
        <is>
          <t>Kjuge</t>
        </is>
      </c>
      <c r="F4" t="b">
        <v>0</v>
      </c>
      <c r="G4" s="2" t="n">
        <v>44759</v>
      </c>
      <c r="J4" t="inlineStr">
        <is>
          <t>Antal 6a+ for 27crags:</t>
        </is>
      </c>
      <c r="K4">
        <f>COUNTIF($B$2:$B$50,"6a+")</f>
        <v/>
      </c>
      <c r="M4" t="inlineStr">
        <is>
          <t>Antal 6a+ for guide:</t>
        </is>
      </c>
      <c r="N4">
        <f>COUNTIF($C$2:$C$50,"6a+")</f>
        <v/>
      </c>
      <c r="P4" t="inlineStr">
        <is>
          <t>Antal 6a+ for min grade:</t>
        </is>
      </c>
      <c r="Q4">
        <f>COUNTIF($D$2:$D$50,"6a+")</f>
        <v/>
      </c>
    </row>
    <row r="5">
      <c r="A5" t="inlineStr">
        <is>
          <t>Daniels Kluriga Sva</t>
        </is>
      </c>
      <c r="B5" t="inlineStr">
        <is>
          <t>6a+</t>
        </is>
      </c>
      <c r="C5" t="inlineStr">
        <is>
          <t>6a+</t>
        </is>
      </c>
      <c r="D5" t="inlineStr">
        <is>
          <t>6b</t>
        </is>
      </c>
      <c r="E5" t="inlineStr">
        <is>
          <t>Kjuge</t>
        </is>
      </c>
      <c r="F5" t="b">
        <v>0</v>
      </c>
      <c r="G5" s="2" t="n">
        <v>44759</v>
      </c>
      <c r="J5" t="inlineStr">
        <is>
          <t>Antal 6b for 27crags:</t>
        </is>
      </c>
      <c r="K5">
        <f>COUNTIF($B$2:$B$50,"6b")</f>
        <v/>
      </c>
      <c r="M5" t="inlineStr">
        <is>
          <t>Antal 6b for guide:</t>
        </is>
      </c>
      <c r="N5">
        <f>COUNTIF($C$2:$C$50,"6b")</f>
        <v/>
      </c>
      <c r="P5" t="inlineStr">
        <is>
          <t>Antal 6b for min grade:</t>
        </is>
      </c>
      <c r="Q5">
        <f>COUNTIF($D$2:$D$50,"6b")</f>
        <v/>
      </c>
    </row>
    <row r="6">
      <c r="A6" t="inlineStr">
        <is>
          <t>Mother Fucking Diva</t>
        </is>
      </c>
      <c r="B6" t="inlineStr">
        <is>
          <t>6b</t>
        </is>
      </c>
      <c r="C6" t="inlineStr">
        <is>
          <t>6a</t>
        </is>
      </c>
      <c r="D6" t="inlineStr">
        <is>
          <t>6b</t>
        </is>
      </c>
      <c r="E6" t="inlineStr">
        <is>
          <t>Tokerud</t>
        </is>
      </c>
      <c r="F6" t="b">
        <v>0</v>
      </c>
      <c r="G6" s="2" t="n">
        <v>44769</v>
      </c>
      <c r="J6" t="inlineStr">
        <is>
          <t>Antal 6b+ for 27crags:</t>
        </is>
      </c>
      <c r="K6">
        <f>COUNTIF($B$2:$B$50,"6b+")</f>
        <v/>
      </c>
      <c r="M6" t="inlineStr">
        <is>
          <t>Antal 6b+ for guide:</t>
        </is>
      </c>
      <c r="N6">
        <f>COUNTIF($C$2:$C$50,"6b+")</f>
        <v/>
      </c>
      <c r="P6" t="inlineStr">
        <is>
          <t>Antal 6b+ for min grade:</t>
        </is>
      </c>
      <c r="Q6">
        <f>COUNTIF($D$2:$D$50,"6b+")</f>
        <v/>
      </c>
    </row>
    <row r="7">
      <c r="A7" t="inlineStr">
        <is>
          <t>Hale Poff Sit Start</t>
        </is>
      </c>
      <c r="B7" t="inlineStr">
        <is>
          <t>6b</t>
        </is>
      </c>
      <c r="C7" t="inlineStr">
        <is>
          <t>6b</t>
        </is>
      </c>
      <c r="D7" t="inlineStr">
        <is>
          <t>6b</t>
        </is>
      </c>
      <c r="E7" t="inlineStr">
        <is>
          <t>Tokerud</t>
        </is>
      </c>
      <c r="F7" t="b">
        <v>1</v>
      </c>
      <c r="G7" s="2" t="n">
        <v>44769</v>
      </c>
      <c r="J7" t="inlineStr">
        <is>
          <t>Antal 6c for 27crags:</t>
        </is>
      </c>
      <c r="K7">
        <f>COUNTIF($B$2:$B$50,"6c")</f>
        <v/>
      </c>
      <c r="M7" t="inlineStr">
        <is>
          <t>Antal 6c for guide:</t>
        </is>
      </c>
      <c r="N7">
        <f>COUNTIF($C$2:$C$50,"6c")</f>
        <v/>
      </c>
      <c r="P7" t="inlineStr">
        <is>
          <t>Antal 6c for min grade:</t>
        </is>
      </c>
      <c r="Q7">
        <f>COUNTIF($D$2:$D$50,"6c")</f>
        <v/>
      </c>
    </row>
    <row r="8">
      <c r="A8" t="inlineStr">
        <is>
          <t>Silverado</t>
        </is>
      </c>
      <c r="B8" t="inlineStr">
        <is>
          <t>6c+</t>
        </is>
      </c>
      <c r="C8" t="inlineStr">
        <is>
          <t>6c+</t>
        </is>
      </c>
      <c r="D8" t="inlineStr">
        <is>
          <t>6c+</t>
        </is>
      </c>
      <c r="E8" t="inlineStr">
        <is>
          <t>Østmarka</t>
        </is>
      </c>
      <c r="F8" t="b">
        <v>0</v>
      </c>
      <c r="G8" s="2" t="n">
        <v>44771</v>
      </c>
      <c r="J8" t="inlineStr">
        <is>
          <t>Antal 6c+ for 27crags:</t>
        </is>
      </c>
      <c r="K8">
        <f>COUNTIF($B$2:$B$50,"6c+")</f>
        <v/>
      </c>
      <c r="M8" t="inlineStr">
        <is>
          <t>Antal 6c+ for guide:</t>
        </is>
      </c>
      <c r="N8">
        <f>COUNTIF($C$2:$C$50,"6c+")</f>
        <v/>
      </c>
      <c r="P8" t="inlineStr">
        <is>
          <t>Antal 6c+ for min grade:</t>
        </is>
      </c>
      <c r="Q8">
        <f>COUNTIF($D$2:$D$50,"6c+")</f>
        <v/>
      </c>
    </row>
    <row r="9">
      <c r="A9" t="inlineStr">
        <is>
          <t>Mocca</t>
        </is>
      </c>
      <c r="B9" t="inlineStr">
        <is>
          <t>6a+</t>
        </is>
      </c>
      <c r="C9" t="inlineStr">
        <is>
          <t>6a+</t>
        </is>
      </c>
      <c r="D9" t="inlineStr">
        <is>
          <t>6a+</t>
        </is>
      </c>
      <c r="E9" t="inlineStr">
        <is>
          <t>Kjuge</t>
        </is>
      </c>
      <c r="F9" t="b">
        <v>1</v>
      </c>
      <c r="G9" s="2" t="n">
        <v>44851</v>
      </c>
      <c r="J9" t="inlineStr">
        <is>
          <t>Antal 7a for 27crags:</t>
        </is>
      </c>
      <c r="K9">
        <f>COUNTIF($B$2:$B$50,"7a")</f>
        <v/>
      </c>
      <c r="M9" t="inlineStr">
        <is>
          <t>Antal 7a for guide:</t>
        </is>
      </c>
      <c r="N9">
        <f>COUNTIF($C$2:$C$50,"7a")</f>
        <v/>
      </c>
      <c r="P9" t="inlineStr">
        <is>
          <t>Antal 7a for min grade:</t>
        </is>
      </c>
      <c r="Q9">
        <f>COUNTIF($D$2:$D$50,"7a")</f>
        <v/>
      </c>
    </row>
    <row r="10">
      <c r="A10" t="inlineStr">
        <is>
          <t>Mini Ghetto</t>
        </is>
      </c>
      <c r="B10" t="inlineStr">
        <is>
          <t>6b</t>
        </is>
      </c>
      <c r="C10" t="inlineStr">
        <is>
          <t>6b</t>
        </is>
      </c>
      <c r="D10" t="inlineStr">
        <is>
          <t>6b</t>
        </is>
      </c>
      <c r="E10" t="inlineStr">
        <is>
          <t>Kjuge</t>
        </is>
      </c>
      <c r="F10" t="b">
        <v>0</v>
      </c>
      <c r="G10" s="2" t="n">
        <v>44851</v>
      </c>
    </row>
    <row r="11">
      <c r="A11" t="inlineStr">
        <is>
          <t>Mr. Mantle</t>
        </is>
      </c>
      <c r="B11" t="inlineStr">
        <is>
          <t>6a+</t>
        </is>
      </c>
      <c r="C11" t="inlineStr">
        <is>
          <t>6b</t>
        </is>
      </c>
      <c r="D11" t="inlineStr">
        <is>
          <t>6b+</t>
        </is>
      </c>
      <c r="E11" t="inlineStr">
        <is>
          <t>Kjuge</t>
        </is>
      </c>
      <c r="F11" t="b">
        <v>0</v>
      </c>
      <c r="G11" s="2" t="n">
        <v>44851</v>
      </c>
    </row>
    <row r="12">
      <c r="A12" t="inlineStr">
        <is>
          <t>Flaming Star</t>
        </is>
      </c>
      <c r="B12" t="inlineStr">
        <is>
          <t>6c</t>
        </is>
      </c>
      <c r="C12" t="inlineStr">
        <is>
          <t>6c</t>
        </is>
      </c>
      <c r="D12" t="inlineStr">
        <is>
          <t>6c+</t>
        </is>
      </c>
      <c r="E12" t="inlineStr">
        <is>
          <t>Kjuge</t>
        </is>
      </c>
      <c r="F12" t="b">
        <v>0</v>
      </c>
      <c r="G12" s="2" t="n">
        <v>44852</v>
      </c>
    </row>
    <row r="13">
      <c r="A13" t="inlineStr">
        <is>
          <t>Glasögonorm</t>
        </is>
      </c>
      <c r="B13" t="inlineStr">
        <is>
          <t>6c</t>
        </is>
      </c>
      <c r="C13" t="inlineStr">
        <is>
          <t>6c</t>
        </is>
      </c>
      <c r="D13" t="inlineStr">
        <is>
          <t>6c</t>
        </is>
      </c>
      <c r="E13" t="inlineStr">
        <is>
          <t>Kjuge</t>
        </is>
      </c>
      <c r="F13" t="b">
        <v>0</v>
      </c>
      <c r="G13" s="2" t="n">
        <v>44852</v>
      </c>
    </row>
    <row r="14">
      <c r="A14" t="inlineStr">
        <is>
          <t>Onämnbar hund</t>
        </is>
      </c>
      <c r="B14" t="inlineStr">
        <is>
          <t>6a</t>
        </is>
      </c>
      <c r="C14" t="inlineStr">
        <is>
          <t>6a</t>
        </is>
      </c>
      <c r="D14" t="inlineStr">
        <is>
          <t>6a</t>
        </is>
      </c>
      <c r="E14" t="inlineStr">
        <is>
          <t>Kjuge</t>
        </is>
      </c>
      <c r="F14" t="b">
        <v>1</v>
      </c>
      <c r="G14" s="2" t="n">
        <v>44853</v>
      </c>
    </row>
    <row r="15">
      <c r="A15" t="inlineStr">
        <is>
          <t>Sommarnatt</t>
        </is>
      </c>
      <c r="B15" t="inlineStr">
        <is>
          <t>7a</t>
        </is>
      </c>
      <c r="C15" t="inlineStr">
        <is>
          <t>7a</t>
        </is>
      </c>
      <c r="D15" t="inlineStr">
        <is>
          <t>7a</t>
        </is>
      </c>
      <c r="E15" t="inlineStr">
        <is>
          <t>Kjuge</t>
        </is>
      </c>
      <c r="F15" t="b">
        <v>0</v>
      </c>
      <c r="G15" s="2" t="n">
        <v>44854</v>
      </c>
    </row>
    <row r="16">
      <c r="A16" t="inlineStr">
        <is>
          <t>High Way Sittstart</t>
        </is>
      </c>
      <c r="B16" t="inlineStr">
        <is>
          <t>6b+</t>
        </is>
      </c>
      <c r="C16" t="inlineStr">
        <is>
          <t>6c</t>
        </is>
      </c>
      <c r="D16" t="inlineStr">
        <is>
          <t>6b</t>
        </is>
      </c>
      <c r="E16" t="inlineStr">
        <is>
          <t>Västervik</t>
        </is>
      </c>
      <c r="F16" t="b">
        <v>1</v>
      </c>
      <c r="G16" s="2" t="n">
        <v>44992</v>
      </c>
    </row>
    <row r="17">
      <c r="A17" t="inlineStr">
        <is>
          <t>The Red Slab</t>
        </is>
      </c>
      <c r="B17" t="inlineStr">
        <is>
          <t>6c</t>
        </is>
      </c>
      <c r="C17" t="inlineStr">
        <is>
          <t>6c</t>
        </is>
      </c>
      <c r="D17" t="inlineStr">
        <is>
          <t>6b</t>
        </is>
      </c>
      <c r="E17" t="inlineStr">
        <is>
          <t>Västervik</t>
        </is>
      </c>
      <c r="F17" t="b">
        <v>1</v>
      </c>
      <c r="G17" s="2" t="n">
        <v>44992</v>
      </c>
    </row>
    <row r="18">
      <c r="A18" t="inlineStr">
        <is>
          <t>Full Contact Direkt (stå start)</t>
        </is>
      </c>
      <c r="B18" t="inlineStr">
        <is>
          <t>7a</t>
        </is>
      </c>
      <c r="C18" t="inlineStr">
        <is>
          <t>7a</t>
        </is>
      </c>
      <c r="D18" t="inlineStr">
        <is>
          <t>6c</t>
        </is>
      </c>
      <c r="E18" t="inlineStr">
        <is>
          <t>Västervik</t>
        </is>
      </c>
      <c r="F18" t="b">
        <v>0</v>
      </c>
      <c r="G18" s="2" t="n">
        <v>44992</v>
      </c>
    </row>
    <row r="19">
      <c r="A19" t="inlineStr">
        <is>
          <t>The Way Low</t>
        </is>
      </c>
      <c r="B19" t="inlineStr">
        <is>
          <t>7a</t>
        </is>
      </c>
      <c r="C19" t="inlineStr">
        <is>
          <t>7a</t>
        </is>
      </c>
      <c r="D19" t="inlineStr">
        <is>
          <t>6c</t>
        </is>
      </c>
      <c r="E19" t="inlineStr">
        <is>
          <t>Västervik</t>
        </is>
      </c>
      <c r="F19" t="b">
        <v>0</v>
      </c>
      <c r="G19" s="2" t="n">
        <v>44992</v>
      </c>
    </row>
    <row r="20">
      <c r="A20" t="inlineStr">
        <is>
          <t>Mållinjen</t>
        </is>
      </c>
      <c r="B20" t="inlineStr">
        <is>
          <t>6b</t>
        </is>
      </c>
      <c r="C20" t="inlineStr">
        <is>
          <t>6b</t>
        </is>
      </c>
      <c r="D20" t="inlineStr">
        <is>
          <t>6b</t>
        </is>
      </c>
      <c r="E20" t="inlineStr">
        <is>
          <t>Kjuge</t>
        </is>
      </c>
      <c r="F20" t="b">
        <v>0</v>
      </c>
      <c r="G20" s="2" t="n">
        <v>44993</v>
      </c>
    </row>
    <row r="21">
      <c r="A21" t="inlineStr">
        <is>
          <t>Klassiker Direkt</t>
        </is>
      </c>
      <c r="B21" t="inlineStr">
        <is>
          <t>6a+</t>
        </is>
      </c>
      <c r="C21" t="inlineStr">
        <is>
          <t>6a</t>
        </is>
      </c>
      <c r="D21" t="inlineStr">
        <is>
          <t>6a+</t>
        </is>
      </c>
      <c r="E21" t="inlineStr">
        <is>
          <t>Kjuge</t>
        </is>
      </c>
      <c r="F21" t="b">
        <v>1</v>
      </c>
      <c r="G21" s="2" t="n">
        <v>44995</v>
      </c>
    </row>
    <row r="22">
      <c r="A22" t="inlineStr">
        <is>
          <t>Mandomsprövet</t>
        </is>
      </c>
      <c r="B22" t="inlineStr">
        <is>
          <t>6a</t>
        </is>
      </c>
      <c r="C22" t="inlineStr">
        <is>
          <t>6a</t>
        </is>
      </c>
      <c r="D22" t="inlineStr">
        <is>
          <t>6a</t>
        </is>
      </c>
      <c r="E22" t="inlineStr">
        <is>
          <t>Kjuge</t>
        </is>
      </c>
      <c r="F22" t="b">
        <v>1</v>
      </c>
      <c r="G22" s="2" t="n">
        <v>44995</v>
      </c>
    </row>
    <row r="23">
      <c r="A23" t="inlineStr">
        <is>
          <t>Björnkram Ståstart</t>
        </is>
      </c>
      <c r="B23" t="inlineStr">
        <is>
          <t>6a</t>
        </is>
      </c>
      <c r="C23" t="inlineStr">
        <is>
          <t>6a</t>
        </is>
      </c>
      <c r="D23" t="inlineStr">
        <is>
          <t>6a</t>
        </is>
      </c>
      <c r="E23" t="inlineStr">
        <is>
          <t>Kjuge</t>
        </is>
      </c>
      <c r="F23" t="b">
        <v>1</v>
      </c>
      <c r="G23" s="2" t="n">
        <v>44995</v>
      </c>
    </row>
    <row r="24">
      <c r="A24" t="inlineStr">
        <is>
          <t>Maja</t>
        </is>
      </c>
      <c r="B24" t="inlineStr">
        <is>
          <t>6a</t>
        </is>
      </c>
      <c r="C24" t="inlineStr">
        <is>
          <t>6a</t>
        </is>
      </c>
      <c r="D24" t="inlineStr">
        <is>
          <t>6a</t>
        </is>
      </c>
      <c r="E24" t="inlineStr">
        <is>
          <t>Västervik</t>
        </is>
      </c>
      <c r="F24" t="b">
        <v>1</v>
      </c>
      <c r="G24" s="2" t="n">
        <v>45019</v>
      </c>
    </row>
    <row r="25">
      <c r="A25" t="inlineStr">
        <is>
          <t>My Way Stand Start</t>
        </is>
      </c>
      <c r="B25" t="inlineStr">
        <is>
          <t>6c</t>
        </is>
      </c>
      <c r="C25" t="inlineStr">
        <is>
          <t>6c</t>
        </is>
      </c>
      <c r="D25" t="inlineStr">
        <is>
          <t>6b+</t>
        </is>
      </c>
      <c r="E25" t="inlineStr">
        <is>
          <t>Västervik</t>
        </is>
      </c>
      <c r="F25" t="b">
        <v>0</v>
      </c>
      <c r="G25" s="2" t="n">
        <v>45019</v>
      </c>
    </row>
    <row r="26">
      <c r="A26" t="inlineStr">
        <is>
          <t>SR</t>
        </is>
      </c>
      <c r="B26" t="inlineStr">
        <is>
          <t>6a</t>
        </is>
      </c>
      <c r="C26" t="inlineStr">
        <is>
          <t>6a</t>
        </is>
      </c>
      <c r="D26" t="inlineStr">
        <is>
          <t>6a</t>
        </is>
      </c>
      <c r="E26" t="inlineStr">
        <is>
          <t>Västervik</t>
        </is>
      </c>
      <c r="F26" t="b">
        <v>1</v>
      </c>
      <c r="G26" s="2" t="n">
        <v>45020</v>
      </c>
    </row>
    <row r="27">
      <c r="A27" t="inlineStr">
        <is>
          <t>Techno Trip</t>
        </is>
      </c>
      <c r="B27" t="inlineStr">
        <is>
          <t>6a+</t>
        </is>
      </c>
      <c r="C27" t="inlineStr">
        <is>
          <t>6a</t>
        </is>
      </c>
      <c r="D27" t="inlineStr">
        <is>
          <t>6a</t>
        </is>
      </c>
      <c r="E27" t="inlineStr">
        <is>
          <t>Västervik</t>
        </is>
      </c>
      <c r="F27" t="b">
        <v>1</v>
      </c>
      <c r="G27" s="2" t="n">
        <v>45020</v>
      </c>
    </row>
    <row r="28">
      <c r="A28" t="inlineStr">
        <is>
          <t>Örnen</t>
        </is>
      </c>
      <c r="B28" t="inlineStr">
        <is>
          <t>6b</t>
        </is>
      </c>
      <c r="C28" t="inlineStr">
        <is>
          <t>6b</t>
        </is>
      </c>
      <c r="D28" t="inlineStr">
        <is>
          <t>6b</t>
        </is>
      </c>
      <c r="E28" t="inlineStr">
        <is>
          <t>Västervik</t>
        </is>
      </c>
      <c r="F28" t="b">
        <v>0</v>
      </c>
      <c r="G28" s="2" t="n">
        <v>45020</v>
      </c>
    </row>
    <row r="29">
      <c r="A29" t="inlineStr">
        <is>
          <t>Engard</t>
        </is>
      </c>
      <c r="B29" t="inlineStr">
        <is>
          <t>6b</t>
        </is>
      </c>
      <c r="C29" t="inlineStr">
        <is>
          <t>6b</t>
        </is>
      </c>
      <c r="D29" t="inlineStr">
        <is>
          <t>6b</t>
        </is>
      </c>
      <c r="E29" t="inlineStr">
        <is>
          <t>Västervik</t>
        </is>
      </c>
      <c r="F29" t="b">
        <v>1</v>
      </c>
      <c r="G29" s="2" t="n">
        <v>45020</v>
      </c>
    </row>
    <row r="30">
      <c r="A30" t="inlineStr">
        <is>
          <t>Plopp</t>
        </is>
      </c>
      <c r="B30" t="inlineStr">
        <is>
          <t>6b+</t>
        </is>
      </c>
      <c r="C30" t="inlineStr">
        <is>
          <t>6c+</t>
        </is>
      </c>
      <c r="D30" t="inlineStr">
        <is>
          <t>6b+</t>
        </is>
      </c>
      <c r="E30" t="inlineStr">
        <is>
          <t>Västervik</t>
        </is>
      </c>
      <c r="F30" t="b">
        <v>0</v>
      </c>
      <c r="G30" s="2" t="n">
        <v>45020</v>
      </c>
    </row>
    <row r="31">
      <c r="A31" t="inlineStr">
        <is>
          <t>Beat</t>
        </is>
      </c>
      <c r="B31" t="inlineStr">
        <is>
          <t>7a</t>
        </is>
      </c>
      <c r="C31" t="inlineStr">
        <is>
          <t>7a</t>
        </is>
      </c>
      <c r="D31" t="inlineStr">
        <is>
          <t>7a</t>
        </is>
      </c>
      <c r="E31" t="inlineStr">
        <is>
          <t>Västervik</t>
        </is>
      </c>
      <c r="F31" t="b">
        <v>0</v>
      </c>
      <c r="G31" s="2" t="n">
        <v>45020</v>
      </c>
    </row>
    <row r="32">
      <c r="A32" t="inlineStr">
        <is>
          <t>Colosseum</t>
        </is>
      </c>
      <c r="B32" t="inlineStr">
        <is>
          <t>6c+</t>
        </is>
      </c>
      <c r="C32" t="inlineStr">
        <is>
          <t>6c+</t>
        </is>
      </c>
      <c r="D32" t="inlineStr">
        <is>
          <t>6c+</t>
        </is>
      </c>
      <c r="E32" t="inlineStr">
        <is>
          <t>Kjuge</t>
        </is>
      </c>
      <c r="F32" t="b">
        <v>0</v>
      </c>
      <c r="G32" s="2" t="n">
        <v>45093</v>
      </c>
    </row>
    <row r="33">
      <c r="A33" t="inlineStr">
        <is>
          <t>Splinter</t>
        </is>
      </c>
      <c r="B33" t="inlineStr">
        <is>
          <t>6a</t>
        </is>
      </c>
      <c r="C33" t="inlineStr">
        <is>
          <t>6a</t>
        </is>
      </c>
      <c r="D33" t="inlineStr">
        <is>
          <t>6a</t>
        </is>
      </c>
      <c r="E33" t="inlineStr">
        <is>
          <t>Kjuge</t>
        </is>
      </c>
      <c r="F33" t="b">
        <v>1</v>
      </c>
      <c r="G33" s="2" t="n">
        <v>45093</v>
      </c>
    </row>
    <row r="34">
      <c r="A34" t="inlineStr">
        <is>
          <t>Lilla Pissråttan</t>
        </is>
      </c>
      <c r="B34" t="inlineStr">
        <is>
          <t>6a+</t>
        </is>
      </c>
      <c r="C34" t="inlineStr">
        <is>
          <t>6a+</t>
        </is>
      </c>
      <c r="D34" t="inlineStr">
        <is>
          <t>6a+</t>
        </is>
      </c>
      <c r="E34" t="inlineStr">
        <is>
          <t>Kjuge</t>
        </is>
      </c>
      <c r="F34" t="b">
        <v>0</v>
      </c>
      <c r="G34" s="2" t="n">
        <v>45096</v>
      </c>
    </row>
    <row r="35">
      <c r="A35" t="inlineStr">
        <is>
          <t>Duck</t>
        </is>
      </c>
      <c r="B35" t="inlineStr">
        <is>
          <t>6a</t>
        </is>
      </c>
      <c r="C35" t="inlineStr">
        <is>
          <t>5+</t>
        </is>
      </c>
      <c r="D35" t="inlineStr">
        <is>
          <t>6b+</t>
        </is>
      </c>
      <c r="E35" t="inlineStr">
        <is>
          <t>Kjuge</t>
        </is>
      </c>
      <c r="F35" t="b">
        <v>0</v>
      </c>
      <c r="G35" s="2" t="n">
        <v>45096</v>
      </c>
    </row>
    <row r="36">
      <c r="A36" t="inlineStr">
        <is>
          <t>Bulldozer</t>
        </is>
      </c>
      <c r="B36" t="inlineStr">
        <is>
          <t>6a+</t>
        </is>
      </c>
      <c r="C36" t="inlineStr">
        <is>
          <t>6a+</t>
        </is>
      </c>
      <c r="D36" t="inlineStr">
        <is>
          <t>6a+</t>
        </is>
      </c>
      <c r="E36" t="inlineStr">
        <is>
          <t>Kjuge</t>
        </is>
      </c>
      <c r="F36" t="b">
        <v>1</v>
      </c>
      <c r="G36" s="2" t="n">
        <v>45096</v>
      </c>
    </row>
    <row r="37">
      <c r="A37" t="inlineStr">
        <is>
          <t>En helt ny Corolla</t>
        </is>
      </c>
      <c r="B37" t="inlineStr">
        <is>
          <t>6b</t>
        </is>
      </c>
      <c r="C37" t="inlineStr">
        <is>
          <t>6a+</t>
        </is>
      </c>
      <c r="D37" t="inlineStr">
        <is>
          <t>6a</t>
        </is>
      </c>
      <c r="E37" t="inlineStr">
        <is>
          <t>Kjuge</t>
        </is>
      </c>
      <c r="F37" t="b">
        <v>1</v>
      </c>
      <c r="G37" s="2" t="n">
        <v>45207</v>
      </c>
    </row>
    <row r="38">
      <c r="A38" t="inlineStr">
        <is>
          <t>Cannon ball</t>
        </is>
      </c>
      <c r="B38" t="inlineStr">
        <is>
          <t>7a</t>
        </is>
      </c>
      <c r="C38" t="inlineStr">
        <is>
          <t>6c</t>
        </is>
      </c>
      <c r="D38" t="inlineStr">
        <is>
          <t>7a</t>
        </is>
      </c>
      <c r="E38" t="inlineStr">
        <is>
          <t>Kjuge</t>
        </is>
      </c>
      <c r="F38" t="b">
        <v>0</v>
      </c>
      <c r="G38" s="2" t="n">
        <v>45374</v>
      </c>
    </row>
    <row r="39">
      <c r="A39" t="inlineStr">
        <is>
          <t>Nä, men Jeppe</t>
        </is>
      </c>
      <c r="B39" t="inlineStr">
        <is>
          <t>6a+</t>
        </is>
      </c>
      <c r="C39" t="inlineStr">
        <is>
          <t>6b</t>
        </is>
      </c>
      <c r="D39" t="inlineStr">
        <is>
          <t>6a+</t>
        </is>
      </c>
      <c r="E39" t="inlineStr">
        <is>
          <t>Kjuge</t>
        </is>
      </c>
      <c r="F39" t="b">
        <v>0</v>
      </c>
      <c r="G39" s="2" t="n">
        <v>45377</v>
      </c>
    </row>
    <row r="40">
      <c r="A40" t="inlineStr">
        <is>
          <t>Fina Areten</t>
        </is>
      </c>
      <c r="B40" t="inlineStr">
        <is>
          <t>7a</t>
        </is>
      </c>
      <c r="C40" t="inlineStr">
        <is>
          <t>7a</t>
        </is>
      </c>
      <c r="D40" t="inlineStr">
        <is>
          <t>7a</t>
        </is>
      </c>
      <c r="E40" t="inlineStr">
        <is>
          <t>Kjuge</t>
        </is>
      </c>
      <c r="F40" t="b">
        <v>0</v>
      </c>
      <c r="G40" s="3" t="n">
        <v>45378</v>
      </c>
    </row>
    <row r="41">
      <c r="A41" t="inlineStr">
        <is>
          <t>Gonflach</t>
        </is>
      </c>
      <c r="B41" t="inlineStr">
        <is>
          <t>6c</t>
        </is>
      </c>
      <c r="C41" t="inlineStr">
        <is>
          <t>6c</t>
        </is>
      </c>
      <c r="D41" t="inlineStr">
        <is>
          <t>6b+</t>
        </is>
      </c>
      <c r="E41" t="inlineStr">
        <is>
          <t>Kjuge</t>
        </is>
      </c>
      <c r="F41" t="b">
        <v>0</v>
      </c>
      <c r="G41" s="2" t="n">
        <v>45472</v>
      </c>
    </row>
    <row r="42">
      <c r="A42" t="inlineStr">
        <is>
          <t>Långa farbrorn</t>
        </is>
      </c>
      <c r="B42" t="inlineStr">
        <is>
          <t>7a</t>
        </is>
      </c>
      <c r="C42" t="inlineStr">
        <is>
          <t>7a</t>
        </is>
      </c>
      <c r="D42" t="inlineStr">
        <is>
          <t>7a</t>
        </is>
      </c>
      <c r="E42" t="inlineStr">
        <is>
          <t>Västervik</t>
        </is>
      </c>
      <c r="F42" t="b">
        <v>0</v>
      </c>
      <c r="G42" s="2" t="n">
        <v>45469</v>
      </c>
    </row>
    <row r="43">
      <c r="A43" t="inlineStr">
        <is>
          <t>Corporate Express</t>
        </is>
      </c>
      <c r="B43" t="inlineStr">
        <is>
          <t>6b</t>
        </is>
      </c>
      <c r="C43" t="inlineStr">
        <is>
          <t>6c</t>
        </is>
      </c>
      <c r="D43" t="inlineStr">
        <is>
          <t>6a+</t>
        </is>
      </c>
      <c r="E43" t="inlineStr">
        <is>
          <t>Västervik</t>
        </is>
      </c>
      <c r="F43" t="b">
        <v>1</v>
      </c>
      <c r="G43" s="2" t="n">
        <v>45469</v>
      </c>
    </row>
    <row r="44">
      <c r="A44" t="inlineStr">
        <is>
          <t>Johans Arete</t>
        </is>
      </c>
      <c r="B44" t="inlineStr">
        <is>
          <t>6b</t>
        </is>
      </c>
      <c r="C44" t="inlineStr">
        <is>
          <t>6b</t>
        </is>
      </c>
      <c r="D44" t="inlineStr">
        <is>
          <t>6a+</t>
        </is>
      </c>
      <c r="E44" t="inlineStr">
        <is>
          <t>Västervik</t>
        </is>
      </c>
      <c r="F44" t="b">
        <v>1</v>
      </c>
      <c r="G44" s="2" t="n">
        <v>45469</v>
      </c>
    </row>
    <row r="45">
      <c r="A45" t="inlineStr">
        <is>
          <t>Gröna Lanternan</t>
        </is>
      </c>
      <c r="B45" t="inlineStr">
        <is>
          <t>7a+</t>
        </is>
      </c>
      <c r="C45" t="inlineStr">
        <is>
          <t>7a</t>
        </is>
      </c>
      <c r="D45" t="inlineStr">
        <is>
          <t>7a+</t>
        </is>
      </c>
      <c r="E45" t="inlineStr">
        <is>
          <t>Västervik</t>
        </is>
      </c>
      <c r="F45" t="b">
        <v>0</v>
      </c>
      <c r="G45" s="2" t="n">
        <v>45471</v>
      </c>
    </row>
    <row r="46">
      <c r="A46" t="inlineStr">
        <is>
          <t>test</t>
        </is>
      </c>
      <c r="B46" t="inlineStr">
        <is>
          <t>8a</t>
        </is>
      </c>
      <c r="C46" t="inlineStr">
        <is>
          <t>8c</t>
        </is>
      </c>
      <c r="D46" t="inlineStr">
        <is>
          <t>9a</t>
        </is>
      </c>
      <c r="E46" t="inlineStr">
        <is>
          <t>Font</t>
        </is>
      </c>
      <c r="F46" t="n">
        <v>0</v>
      </c>
      <c r="G46" s="4" t="n">
        <v>46174</v>
      </c>
    </row>
    <row r="47">
      <c r="A47" t="inlineStr">
        <is>
          <t>Al Greene</t>
        </is>
      </c>
      <c r="B47" t="inlineStr">
        <is>
          <t>6a</t>
        </is>
      </c>
      <c r="D47" t="inlineStr">
        <is>
          <t>6a</t>
        </is>
      </c>
      <c r="E47" t="inlineStr">
        <is>
          <t>Kjugekull</t>
        </is>
      </c>
      <c r="F47" t="n">
        <v>0</v>
      </c>
      <c r="G47" s="4" t="n">
        <v>45768</v>
      </c>
    </row>
    <row r="48">
      <c r="A48" t="inlineStr">
        <is>
          <t>Nisu</t>
        </is>
      </c>
      <c r="B48" t="inlineStr">
        <is>
          <t>7a</t>
        </is>
      </c>
      <c r="D48" t="inlineStr">
        <is>
          <t>6c</t>
        </is>
      </c>
      <c r="E48" t="inlineStr">
        <is>
          <t>Albarracín</t>
        </is>
      </c>
      <c r="F48" t="n">
        <v>0</v>
      </c>
      <c r="G48" s="4" t="n">
        <v>45213</v>
      </c>
    </row>
    <row r="49">
      <c r="A49" t="inlineStr">
        <is>
          <t>Zanzibar</t>
        </is>
      </c>
      <c r="B49" t="inlineStr">
        <is>
          <t>7a+</t>
        </is>
      </c>
      <c r="D49" t="inlineStr">
        <is>
          <t>7a+</t>
        </is>
      </c>
      <c r="E49" t="inlineStr">
        <is>
          <t>Rocklands</t>
        </is>
      </c>
      <c r="F49" t="n">
        <v>0</v>
      </c>
      <c r="G49" s="4" t="n">
        <v>45122</v>
      </c>
    </row>
    <row r="50">
      <c r="A50" t="inlineStr">
        <is>
          <t>TESTER</t>
        </is>
      </c>
      <c r="B50" t="inlineStr">
        <is>
          <t>6b+</t>
        </is>
      </c>
      <c r="C50" t="inlineStr">
        <is>
          <t>7a+</t>
        </is>
      </c>
      <c r="D50" t="inlineStr">
        <is>
          <t>7a</t>
        </is>
      </c>
      <c r="E50" t="inlineStr">
        <is>
          <t>Tokerud</t>
        </is>
      </c>
      <c r="F50" t="n">
        <v>0</v>
      </c>
      <c r="G50" s="4" t="n">
        <v>46179</v>
      </c>
      <c r="H50" t="inlineStr">
        <is>
          <t>NEW CLIMBER</t>
        </is>
      </c>
    </row>
    <row r="51">
      <c r="A51" t="inlineStr">
        <is>
          <t>Sommartid</t>
        </is>
      </c>
      <c r="B51" t="inlineStr">
        <is>
          <t>7a</t>
        </is>
      </c>
      <c r="D51" t="inlineStr">
        <is>
          <t>7a</t>
        </is>
      </c>
      <c r="E51" t="inlineStr">
        <is>
          <t>Kjugekull</t>
        </is>
      </c>
      <c r="F51" t="n">
        <v>0</v>
      </c>
      <c r="G51" s="4" t="n">
        <v>46167</v>
      </c>
      <c r="H51" t="inlineStr">
        <is>
          <t>Magnushan</t>
        </is>
      </c>
    </row>
    <row r="52">
      <c r="A52" t="inlineStr">
        <is>
          <t>Sickboy</t>
        </is>
      </c>
      <c r="B52" t="inlineStr">
        <is>
          <t>7a+</t>
        </is>
      </c>
      <c r="D52" t="inlineStr">
        <is>
          <t>7a+</t>
        </is>
      </c>
      <c r="E52" t="inlineStr">
        <is>
          <t>Kjugekull</t>
        </is>
      </c>
      <c r="F52" t="n">
        <v>0</v>
      </c>
      <c r="G52" s="4" t="n">
        <v>46167</v>
      </c>
      <c r="H52" t="inlineStr">
        <is>
          <t>Magnushan</t>
        </is>
      </c>
    </row>
    <row r="53">
      <c r="A53" t="inlineStr">
        <is>
          <t>Yoda</t>
        </is>
      </c>
      <c r="B53" t="inlineStr">
        <is>
          <t>7a+</t>
        </is>
      </c>
      <c r="D53" t="inlineStr">
        <is>
          <t>7a+</t>
        </is>
      </c>
      <c r="E53" t="inlineStr">
        <is>
          <t>Kjugekull</t>
        </is>
      </c>
      <c r="F53" t="n">
        <v>0</v>
      </c>
      <c r="G53" s="4" t="n">
        <v>46166</v>
      </c>
      <c r="H53" t="inlineStr">
        <is>
          <t>Magnushan</t>
        </is>
      </c>
    </row>
    <row r="54">
      <c r="A54" t="inlineStr">
        <is>
          <t>Brick 'ard</t>
        </is>
      </c>
      <c r="B54" t="inlineStr">
        <is>
          <t>7a+</t>
        </is>
      </c>
      <c r="D54" t="inlineStr">
        <is>
          <t>7a+</t>
        </is>
      </c>
      <c r="E54" t="inlineStr">
        <is>
          <t>Kjugekull</t>
        </is>
      </c>
      <c r="F54" t="n">
        <v>0</v>
      </c>
      <c r="G54" s="4" t="n">
        <v>46165</v>
      </c>
      <c r="H54" t="inlineStr">
        <is>
          <t>Magnushan</t>
        </is>
      </c>
    </row>
    <row r="55">
      <c r="A55" t="inlineStr">
        <is>
          <t>The 4-layer man in the 2-layer version</t>
        </is>
      </c>
      <c r="B55" t="inlineStr">
        <is>
          <t>7a+</t>
        </is>
      </c>
      <c r="D55" t="inlineStr">
        <is>
          <t>7a+</t>
        </is>
      </c>
      <c r="E55" t="inlineStr">
        <is>
          <t>Kjugekull</t>
        </is>
      </c>
      <c r="F55" t="n">
        <v>0</v>
      </c>
      <c r="G55" s="4" t="n">
        <v>46165</v>
      </c>
      <c r="H55" t="inlineStr">
        <is>
          <t>Magnushan</t>
        </is>
      </c>
    </row>
    <row r="56">
      <c r="A56" t="inlineStr">
        <is>
          <t>Foucault, helt enkelt!</t>
        </is>
      </c>
      <c r="B56" t="inlineStr">
        <is>
          <t>7a</t>
        </is>
      </c>
      <c r="D56" t="inlineStr">
        <is>
          <t>7a+</t>
        </is>
      </c>
      <c r="E56" t="inlineStr">
        <is>
          <t>Kjugekull</t>
        </is>
      </c>
      <c r="F56" t="n">
        <v>0</v>
      </c>
      <c r="G56" s="4" t="n">
        <v>46117</v>
      </c>
      <c r="H56" t="inlineStr">
        <is>
          <t>Magnushan</t>
        </is>
      </c>
    </row>
    <row r="57">
      <c r="A57" t="inlineStr">
        <is>
          <t>Häleri</t>
        </is>
      </c>
      <c r="B57" t="inlineStr">
        <is>
          <t>7a</t>
        </is>
      </c>
      <c r="D57" t="inlineStr">
        <is>
          <t>7a</t>
        </is>
      </c>
      <c r="E57" t="inlineStr">
        <is>
          <t>Kjugekull</t>
        </is>
      </c>
      <c r="F57" t="n">
        <v>0</v>
      </c>
      <c r="G57" s="4" t="n">
        <v>46114</v>
      </c>
      <c r="H57" t="inlineStr">
        <is>
          <t>Magnushan</t>
        </is>
      </c>
    </row>
    <row r="58">
      <c r="A58" t="inlineStr">
        <is>
          <t>Ilse - she wolf of SS</t>
        </is>
      </c>
      <c r="B58" t="inlineStr">
        <is>
          <t>7a</t>
        </is>
      </c>
      <c r="D58" t="inlineStr">
        <is>
          <t>7a</t>
        </is>
      </c>
      <c r="E58" t="inlineStr">
        <is>
          <t>Kjugekull</t>
        </is>
      </c>
      <c r="F58" t="n">
        <v>0</v>
      </c>
      <c r="G58" s="4" t="n">
        <v>46113</v>
      </c>
      <c r="H58" t="inlineStr">
        <is>
          <t>Magnushan</t>
        </is>
      </c>
    </row>
    <row r="59">
      <c r="A59" t="inlineStr">
        <is>
          <t>Super-ghetto</t>
        </is>
      </c>
      <c r="B59" t="inlineStr">
        <is>
          <t>7b</t>
        </is>
      </c>
      <c r="D59" t="inlineStr">
        <is>
          <t>7b</t>
        </is>
      </c>
      <c r="E59" t="inlineStr">
        <is>
          <t>Kjugekull</t>
        </is>
      </c>
      <c r="F59" t="n">
        <v>0</v>
      </c>
      <c r="G59" s="4" t="n">
        <v>46113</v>
      </c>
      <c r="H59" t="inlineStr">
        <is>
          <t>Magnushan</t>
        </is>
      </c>
    </row>
    <row r="60">
      <c r="A60" t="inlineStr">
        <is>
          <t>Träben</t>
        </is>
      </c>
      <c r="B60" t="inlineStr">
        <is>
          <t>7b</t>
        </is>
      </c>
      <c r="D60" t="inlineStr">
        <is>
          <t>7b</t>
        </is>
      </c>
      <c r="E60" t="inlineStr">
        <is>
          <t>Kjugekull</t>
        </is>
      </c>
      <c r="F60" t="n">
        <v>0</v>
      </c>
      <c r="G60" s="4" t="n">
        <v>46110</v>
      </c>
      <c r="H60" t="inlineStr">
        <is>
          <t>Magnushan</t>
        </is>
      </c>
    </row>
    <row r="61">
      <c r="A61" t="inlineStr">
        <is>
          <t>Sommarnatt</t>
        </is>
      </c>
      <c r="B61" t="inlineStr">
        <is>
          <t>7a</t>
        </is>
      </c>
      <c r="D61" t="inlineStr">
        <is>
          <t>7a</t>
        </is>
      </c>
      <c r="E61" t="inlineStr">
        <is>
          <t>Kjugekull</t>
        </is>
      </c>
      <c r="F61" t="n">
        <v>0</v>
      </c>
      <c r="G61" s="4" t="n">
        <v>46110</v>
      </c>
      <c r="H61" t="inlineStr">
        <is>
          <t>Magnushan</t>
        </is>
      </c>
    </row>
    <row r="62">
      <c r="A62" t="inlineStr">
        <is>
          <t>Babar</t>
        </is>
      </c>
      <c r="B62" t="inlineStr">
        <is>
          <t>7a</t>
        </is>
      </c>
      <c r="D62" t="inlineStr">
        <is>
          <t>7a</t>
        </is>
      </c>
      <c r="E62" t="inlineStr">
        <is>
          <t>Kjugekull</t>
        </is>
      </c>
      <c r="F62" t="n">
        <v>0</v>
      </c>
      <c r="G62" s="4" t="n">
        <v>46110</v>
      </c>
      <c r="H62" t="inlineStr">
        <is>
          <t>Magnushan</t>
        </is>
      </c>
    </row>
    <row r="63">
      <c r="A63" t="inlineStr">
        <is>
          <t>Gitanic</t>
        </is>
      </c>
      <c r="B63" t="inlineStr">
        <is>
          <t>7a+</t>
        </is>
      </c>
      <c r="D63" t="inlineStr">
        <is>
          <t>7a+</t>
        </is>
      </c>
      <c r="E63" t="inlineStr">
        <is>
          <t>Tierra media Albarracín</t>
        </is>
      </c>
      <c r="F63" t="n">
        <v>1</v>
      </c>
      <c r="G63" s="4" t="n">
        <v>46033</v>
      </c>
      <c r="H63" t="inlineStr">
        <is>
          <t>Magnushan</t>
        </is>
      </c>
    </row>
    <row r="64">
      <c r="A64" t="inlineStr">
        <is>
          <t>Duck</t>
        </is>
      </c>
      <c r="B64" t="inlineStr">
        <is>
          <t>6a</t>
        </is>
      </c>
      <c r="D64" t="inlineStr">
        <is>
          <t>6a</t>
        </is>
      </c>
      <c r="E64" t="inlineStr">
        <is>
          <t>Kjugekull</t>
        </is>
      </c>
      <c r="F64" t="n">
        <v>1</v>
      </c>
      <c r="G64" s="4" t="n">
        <v>45918</v>
      </c>
      <c r="H64" t="inlineStr">
        <is>
          <t>Magnushan</t>
        </is>
      </c>
    </row>
    <row r="65">
      <c r="A65" t="inlineStr">
        <is>
          <t>Lithium</t>
        </is>
      </c>
      <c r="B65" t="inlineStr">
        <is>
          <t>7c+</t>
        </is>
      </c>
      <c r="D65" t="inlineStr">
        <is>
          <t>7c</t>
        </is>
      </c>
      <c r="E65" t="inlineStr">
        <is>
          <t>Kjugekull</t>
        </is>
      </c>
      <c r="F65" t="n">
        <v>0</v>
      </c>
      <c r="G65" s="4" t="n">
        <v>45918</v>
      </c>
      <c r="H65" t="inlineStr">
        <is>
          <t>Magnushan</t>
        </is>
      </c>
    </row>
    <row r="66">
      <c r="A66" t="inlineStr">
        <is>
          <t>Tare Baby</t>
        </is>
      </c>
      <c r="B66" t="inlineStr">
        <is>
          <t>7c</t>
        </is>
      </c>
      <c r="D66" t="inlineStr">
        <is>
          <t>7c</t>
        </is>
      </c>
      <c r="E66" t="inlineStr">
        <is>
          <t>Stem Bastensen</t>
        </is>
      </c>
      <c r="F66" t="n">
        <v>0</v>
      </c>
      <c r="G66" s="4" t="n">
        <v>45864</v>
      </c>
      <c r="H66" t="inlineStr">
        <is>
          <t>Magnushan</t>
        </is>
      </c>
    </row>
    <row r="67">
      <c r="A67" t="inlineStr">
        <is>
          <t>King Fisher</t>
        </is>
      </c>
      <c r="B67" t="inlineStr">
        <is>
          <t>7a</t>
        </is>
      </c>
      <c r="D67" t="inlineStr">
        <is>
          <t>7a</t>
        </is>
      </c>
      <c r="E67" t="inlineStr">
        <is>
          <t>Trolldalstjønna a.k.a. Justad</t>
        </is>
      </c>
      <c r="F67" t="n">
        <v>0</v>
      </c>
      <c r="G67" s="4" t="n">
        <v>45858</v>
      </c>
      <c r="H67" t="inlineStr">
        <is>
          <t>Magnushan</t>
        </is>
      </c>
    </row>
    <row r="68">
      <c r="A68" t="inlineStr">
        <is>
          <t>Kristallo</t>
        </is>
      </c>
      <c r="B68" t="inlineStr">
        <is>
          <t>7c</t>
        </is>
      </c>
      <c r="D68" t="inlineStr">
        <is>
          <t>7c</t>
        </is>
      </c>
      <c r="E68" t="inlineStr">
        <is>
          <t>Magic Wood</t>
        </is>
      </c>
      <c r="F68" t="n">
        <v>0</v>
      </c>
      <c r="G68" s="4" t="n">
        <v>45840</v>
      </c>
      <c r="H68" t="inlineStr">
        <is>
          <t>Magnushan</t>
        </is>
      </c>
    </row>
    <row r="69">
      <c r="A69" t="inlineStr">
        <is>
          <t>Jack the chipper</t>
        </is>
      </c>
      <c r="B69" t="inlineStr">
        <is>
          <t>7c</t>
        </is>
      </c>
      <c r="D69" t="inlineStr">
        <is>
          <t>7c</t>
        </is>
      </c>
      <c r="E69" t="inlineStr">
        <is>
          <t>Magic Wood</t>
        </is>
      </c>
      <c r="F69" t="n">
        <v>0</v>
      </c>
      <c r="G69" s="4" t="n">
        <v>45840</v>
      </c>
      <c r="H69" t="inlineStr">
        <is>
          <t>Magnushan</t>
        </is>
      </c>
    </row>
    <row r="70">
      <c r="A70" t="inlineStr">
        <is>
          <t>Höhenrausch</t>
        </is>
      </c>
      <c r="B70" t="inlineStr">
        <is>
          <t>7b+</t>
        </is>
      </c>
      <c r="D70" t="inlineStr">
        <is>
          <t>7b+</t>
        </is>
      </c>
      <c r="E70" t="inlineStr">
        <is>
          <t>Magic Wood</t>
        </is>
      </c>
      <c r="F70" t="n">
        <v>0</v>
      </c>
      <c r="G70" s="4" t="n">
        <v>45839</v>
      </c>
      <c r="H70" t="inlineStr">
        <is>
          <t>Magnushan</t>
        </is>
      </c>
    </row>
    <row r="71">
      <c r="A71" t="inlineStr">
        <is>
          <t>Piranja</t>
        </is>
      </c>
      <c r="B71" t="inlineStr">
        <is>
          <t>7c+</t>
        </is>
      </c>
      <c r="D71" t="inlineStr">
        <is>
          <t>7c+</t>
        </is>
      </c>
      <c r="E71" t="inlineStr">
        <is>
          <t>Magic Wood</t>
        </is>
      </c>
      <c r="F71" t="n">
        <v>0</v>
      </c>
      <c r="G71" s="4" t="n">
        <v>45833</v>
      </c>
      <c r="H71" t="inlineStr">
        <is>
          <t>Magnushan</t>
        </is>
      </c>
    </row>
    <row r="72">
      <c r="A72" t="inlineStr">
        <is>
          <t>The Kick</t>
        </is>
      </c>
      <c r="B72" t="inlineStr">
        <is>
          <t>7b</t>
        </is>
      </c>
      <c r="D72" t="inlineStr">
        <is>
          <t>7b+</t>
        </is>
      </c>
      <c r="E72" t="inlineStr">
        <is>
          <t>Fruberget</t>
        </is>
      </c>
      <c r="F72" t="n">
        <v>0</v>
      </c>
      <c r="G72" s="4" t="n">
        <v>45808</v>
      </c>
      <c r="H72" t="inlineStr">
        <is>
          <t>Magnushan</t>
        </is>
      </c>
    </row>
    <row r="73">
      <c r="A73" t="inlineStr">
        <is>
          <t>Illusion</t>
        </is>
      </c>
      <c r="B73" t="inlineStr">
        <is>
          <t>7c</t>
        </is>
      </c>
      <c r="D73" t="inlineStr">
        <is>
          <t>7c</t>
        </is>
      </c>
      <c r="E73" t="inlineStr">
        <is>
          <t>Mommehål</t>
        </is>
      </c>
      <c r="F73" t="n">
        <v>0</v>
      </c>
      <c r="G73" s="4" t="n">
        <v>45806</v>
      </c>
      <c r="H73" t="inlineStr">
        <is>
          <t>Magnushan</t>
        </is>
      </c>
    </row>
    <row r="74">
      <c r="A74" t="inlineStr">
        <is>
          <t>Tvekampen</t>
        </is>
      </c>
      <c r="B74" t="inlineStr">
        <is>
          <t>8a</t>
        </is>
      </c>
      <c r="D74" t="inlineStr">
        <is>
          <t>8a</t>
        </is>
      </c>
      <c r="E74" t="inlineStr">
        <is>
          <t>Hultastenen</t>
        </is>
      </c>
      <c r="F74" t="n">
        <v>0</v>
      </c>
      <c r="G74" s="4" t="n">
        <v>45702</v>
      </c>
      <c r="H74" t="inlineStr">
        <is>
          <t>Magnushan</t>
        </is>
      </c>
    </row>
    <row r="75">
      <c r="A75" t="inlineStr">
        <is>
          <t>Colosseum sittstart</t>
        </is>
      </c>
      <c r="B75" t="inlineStr">
        <is>
          <t>7c</t>
        </is>
      </c>
      <c r="D75" t="inlineStr">
        <is>
          <t>7c</t>
        </is>
      </c>
      <c r="E75" t="inlineStr">
        <is>
          <t>Kjugekull</t>
        </is>
      </c>
      <c r="F75" t="n">
        <v>0</v>
      </c>
      <c r="G75" s="4" t="n">
        <v>45700</v>
      </c>
      <c r="H75" t="inlineStr">
        <is>
          <t>Magnushan</t>
        </is>
      </c>
    </row>
    <row r="76">
      <c r="A76" t="inlineStr">
        <is>
          <t>Rocketeer</t>
        </is>
      </c>
      <c r="B76" t="inlineStr">
        <is>
          <t>7a</t>
        </is>
      </c>
      <c r="D76" t="inlineStr">
        <is>
          <t>7a</t>
        </is>
      </c>
      <c r="E76" t="inlineStr">
        <is>
          <t>Kjugekull</t>
        </is>
      </c>
      <c r="F76" t="n">
        <v>0</v>
      </c>
      <c r="G76" s="4" t="n">
        <v>45517</v>
      </c>
      <c r="H76" t="inlineStr">
        <is>
          <t>Magnushan</t>
        </is>
      </c>
    </row>
    <row r="77">
      <c r="A77" t="inlineStr">
        <is>
          <t>Ineschakra</t>
        </is>
      </c>
      <c r="B77" t="inlineStr">
        <is>
          <t>7b+</t>
        </is>
      </c>
      <c r="D77" t="inlineStr">
        <is>
          <t>7b+</t>
        </is>
      </c>
      <c r="E77" t="inlineStr">
        <is>
          <t>Arrastradero Albarracín</t>
        </is>
      </c>
      <c r="F77" t="n">
        <v>0</v>
      </c>
      <c r="G77" s="4" t="n">
        <v>45216</v>
      </c>
      <c r="H77" t="inlineStr">
        <is>
          <t>Magnushan</t>
        </is>
      </c>
    </row>
    <row r="78">
      <c r="A78" t="inlineStr">
        <is>
          <t>Rammstein</t>
        </is>
      </c>
      <c r="B78" t="inlineStr">
        <is>
          <t>7b</t>
        </is>
      </c>
      <c r="D78" t="inlineStr">
        <is>
          <t>7b</t>
        </is>
      </c>
      <c r="E78" t="inlineStr">
        <is>
          <t>Arrastradero Albarracín</t>
        </is>
      </c>
      <c r="F78" t="n">
        <v>0</v>
      </c>
      <c r="G78" s="4" t="n">
        <v>45216</v>
      </c>
      <c r="H78" t="inlineStr">
        <is>
          <t>Magnushan</t>
        </is>
      </c>
    </row>
    <row r="79">
      <c r="A79" t="inlineStr">
        <is>
          <t>Linds långa linje</t>
        </is>
      </c>
      <c r="B79" t="inlineStr">
        <is>
          <t>6b+</t>
        </is>
      </c>
      <c r="D79" t="inlineStr">
        <is>
          <t>6b+</t>
        </is>
      </c>
      <c r="E79" t="inlineStr">
        <is>
          <t>Kjugekull</t>
        </is>
      </c>
      <c r="F79" t="n">
        <v>1</v>
      </c>
      <c r="G79" s="4" t="n">
        <v>45206</v>
      </c>
      <c r="H79" t="inlineStr">
        <is>
          <t>Magnushan</t>
        </is>
      </c>
    </row>
    <row r="80">
      <c r="A80" t="inlineStr">
        <is>
          <t>Pinotage</t>
        </is>
      </c>
      <c r="B80" t="inlineStr">
        <is>
          <t>7b+</t>
        </is>
      </c>
      <c r="D80" t="inlineStr">
        <is>
          <t>7c</t>
        </is>
      </c>
      <c r="E80" t="inlineStr">
        <is>
          <t>SASSIES - Bouldering</t>
        </is>
      </c>
      <c r="F80" t="n">
        <v>0</v>
      </c>
      <c r="G80" s="4" t="n">
        <v>45129</v>
      </c>
      <c r="H80" t="inlineStr">
        <is>
          <t>Magnushan</t>
        </is>
      </c>
    </row>
    <row r="81">
      <c r="A81" t="inlineStr">
        <is>
          <t>Rhino</t>
        </is>
      </c>
      <c r="B81" t="inlineStr">
        <is>
          <t>7b+</t>
        </is>
      </c>
      <c r="D81" t="inlineStr">
        <is>
          <t>7b+</t>
        </is>
      </c>
      <c r="E81" t="inlineStr">
        <is>
          <t>THE RHINO - Bouldering</t>
        </is>
      </c>
      <c r="F81" t="n">
        <v>0</v>
      </c>
      <c r="G81" s="4" t="n">
        <v>45121</v>
      </c>
      <c r="H81" t="inlineStr">
        <is>
          <t>Magnushan</t>
        </is>
      </c>
    </row>
    <row r="82">
      <c r="A82" t="inlineStr">
        <is>
          <t>Weichei</t>
        </is>
      </c>
      <c r="B82" t="inlineStr">
        <is>
          <t>7c+</t>
        </is>
      </c>
      <c r="D82" t="inlineStr">
        <is>
          <t>7c+</t>
        </is>
      </c>
      <c r="E82" t="inlineStr">
        <is>
          <t>The PLATEAU - Bouldering</t>
        </is>
      </c>
      <c r="F82" t="n">
        <v>0</v>
      </c>
      <c r="G82" s="4" t="n">
        <v>45118</v>
      </c>
      <c r="H82" t="inlineStr">
        <is>
          <t>Magnushan</t>
        </is>
      </c>
    </row>
    <row r="83">
      <c r="A83" t="inlineStr">
        <is>
          <t>Hellfire</t>
        </is>
      </c>
      <c r="B83" t="inlineStr">
        <is>
          <t>7c+</t>
        </is>
      </c>
      <c r="D83" t="inlineStr">
        <is>
          <t>7c+</t>
        </is>
      </c>
      <c r="E83" t="inlineStr">
        <is>
          <t>ROADKILL CAFE - Bouldering &amp; Tradclimbing</t>
        </is>
      </c>
      <c r="F83" t="n">
        <v>0</v>
      </c>
      <c r="G83" s="4" t="n">
        <v>45112</v>
      </c>
      <c r="H83" t="inlineStr">
        <is>
          <t>Magnushan</t>
        </is>
      </c>
    </row>
    <row r="84">
      <c r="A84" t="inlineStr">
        <is>
          <t>Le Carnage</t>
        </is>
      </c>
      <c r="B84" t="inlineStr">
        <is>
          <t>7b+</t>
        </is>
      </c>
      <c r="D84" t="inlineStr">
        <is>
          <t>7b+</t>
        </is>
      </c>
      <c r="E84" t="inlineStr">
        <is>
          <t>Bas Cuvier</t>
        </is>
      </c>
      <c r="F84" t="n">
        <v>0</v>
      </c>
      <c r="G84" s="4" t="n">
        <v>45012</v>
      </c>
      <c r="H84" t="inlineStr">
        <is>
          <t>Magnushan</t>
        </is>
      </c>
    </row>
    <row r="85">
      <c r="A85" t="inlineStr">
        <is>
          <t>Den gamle och havet</t>
        </is>
      </c>
      <c r="B85" t="inlineStr">
        <is>
          <t>7b+</t>
        </is>
      </c>
      <c r="D85" t="inlineStr">
        <is>
          <t>7b+</t>
        </is>
      </c>
      <c r="E85" t="inlineStr">
        <is>
          <t>Hönö</t>
        </is>
      </c>
      <c r="F85" t="n">
        <v>0</v>
      </c>
      <c r="G85" s="4" t="n">
        <v>44860</v>
      </c>
      <c r="H85" t="inlineStr">
        <is>
          <t>Magnushan</t>
        </is>
      </c>
    </row>
    <row r="86">
      <c r="A86" t="inlineStr">
        <is>
          <t>Intermezzo</t>
        </is>
      </c>
      <c r="B86" t="inlineStr">
        <is>
          <t>7c</t>
        </is>
      </c>
      <c r="D86" t="inlineStr">
        <is>
          <t>7c</t>
        </is>
      </c>
      <c r="E86" t="inlineStr">
        <is>
          <t>Magic Wood</t>
        </is>
      </c>
      <c r="F86" t="n">
        <v>0</v>
      </c>
      <c r="G86" s="4" t="n">
        <v>44781</v>
      </c>
      <c r="H86" t="inlineStr">
        <is>
          <t>Magnushan</t>
        </is>
      </c>
    </row>
    <row r="87">
      <c r="A87" t="inlineStr">
        <is>
          <t>Björntjänst sittstart</t>
        </is>
      </c>
      <c r="B87" t="inlineStr">
        <is>
          <t>7a</t>
        </is>
      </c>
      <c r="D87" t="inlineStr">
        <is>
          <t>7a</t>
        </is>
      </c>
      <c r="E87" t="inlineStr">
        <is>
          <t>Kjugekull</t>
        </is>
      </c>
      <c r="F87" t="n">
        <v>0</v>
      </c>
      <c r="G87" s="4" t="n">
        <v>44665</v>
      </c>
      <c r="H87" t="inlineStr">
        <is>
          <t>Magnushan</t>
        </is>
      </c>
    </row>
    <row r="88">
      <c r="A88" t="inlineStr">
        <is>
          <t>Colosseum</t>
        </is>
      </c>
      <c r="B88" t="inlineStr">
        <is>
          <t>6c+</t>
        </is>
      </c>
      <c r="D88" t="inlineStr">
        <is>
          <t>6c</t>
        </is>
      </c>
      <c r="E88" t="inlineStr">
        <is>
          <t>Kjugekull</t>
        </is>
      </c>
      <c r="F88" t="n">
        <v>0</v>
      </c>
      <c r="G88" s="4" t="n">
        <v>44640</v>
      </c>
      <c r="H88" t="inlineStr">
        <is>
          <t>Magnushan</t>
        </is>
      </c>
    </row>
    <row r="89">
      <c r="A89" t="inlineStr">
        <is>
          <t>Våroffer</t>
        </is>
      </c>
      <c r="B89" t="inlineStr">
        <is>
          <t>7b</t>
        </is>
      </c>
      <c r="D89" t="inlineStr">
        <is>
          <t>7b</t>
        </is>
      </c>
      <c r="E89" t="inlineStr">
        <is>
          <t>Kjugekull</t>
        </is>
      </c>
      <c r="F89" t="n">
        <v>0</v>
      </c>
      <c r="G89" s="4" t="n">
        <v>44640</v>
      </c>
      <c r="H89" t="inlineStr">
        <is>
          <t>Magnushan</t>
        </is>
      </c>
    </row>
    <row r="90">
      <c r="A90" t="inlineStr">
        <is>
          <t>Rockstar</t>
        </is>
      </c>
      <c r="B90" t="inlineStr">
        <is>
          <t>7a</t>
        </is>
      </c>
      <c r="D90" t="inlineStr">
        <is>
          <t>7a</t>
        </is>
      </c>
      <c r="E90" t="inlineStr">
        <is>
          <t>Kjugekull</t>
        </is>
      </c>
      <c r="F90" t="n">
        <v>0</v>
      </c>
      <c r="G90" s="4" t="n">
        <v>44639</v>
      </c>
      <c r="H90" t="inlineStr">
        <is>
          <t>Magnushan</t>
        </is>
      </c>
    </row>
    <row r="91">
      <c r="A91" t="inlineStr">
        <is>
          <t>The Office</t>
        </is>
      </c>
      <c r="B91" t="inlineStr">
        <is>
          <t>7b+</t>
        </is>
      </c>
      <c r="D91" t="inlineStr">
        <is>
          <t>7b+</t>
        </is>
      </c>
      <c r="E91" t="inlineStr">
        <is>
          <t>Björnblocket</t>
        </is>
      </c>
      <c r="F91" t="n">
        <v>0</v>
      </c>
      <c r="G91" s="4" t="n">
        <v>44400</v>
      </c>
      <c r="H91" t="inlineStr">
        <is>
          <t>Magnushan</t>
        </is>
      </c>
    </row>
    <row r="92">
      <c r="A92" t="inlineStr">
        <is>
          <t>Fina areten sittstart</t>
        </is>
      </c>
      <c r="B92" t="inlineStr">
        <is>
          <t>7a+</t>
        </is>
      </c>
      <c r="D92" t="inlineStr">
        <is>
          <t>7a+</t>
        </is>
      </c>
      <c r="E92" t="inlineStr">
        <is>
          <t>Kjugekull</t>
        </is>
      </c>
      <c r="F92" t="n">
        <v>0</v>
      </c>
      <c r="G92" s="4" t="n">
        <v>44296</v>
      </c>
      <c r="H92" t="inlineStr">
        <is>
          <t>Magnushan</t>
        </is>
      </c>
    </row>
    <row r="93">
      <c r="A93" t="inlineStr">
        <is>
          <t>Fina areten</t>
        </is>
      </c>
      <c r="B93" t="inlineStr">
        <is>
          <t>7a</t>
        </is>
      </c>
      <c r="D93" t="inlineStr">
        <is>
          <t>7a</t>
        </is>
      </c>
      <c r="E93" t="inlineStr">
        <is>
          <t>Kjugekull</t>
        </is>
      </c>
      <c r="F93" t="n">
        <v>0</v>
      </c>
      <c r="G93" s="4" t="n">
        <v>43569</v>
      </c>
      <c r="H93" t="inlineStr">
        <is>
          <t>Magnushan</t>
        </is>
      </c>
    </row>
    <row r="94">
      <c r="A94" t="inlineStr">
        <is>
          <t>Ghetto</t>
        </is>
      </c>
      <c r="B94" t="inlineStr">
        <is>
          <t>7a+</t>
        </is>
      </c>
      <c r="D94" t="inlineStr">
        <is>
          <t>7a+</t>
        </is>
      </c>
      <c r="E94" t="inlineStr">
        <is>
          <t>Kjugekull</t>
        </is>
      </c>
      <c r="F94" t="n">
        <v>0</v>
      </c>
      <c r="G94" s="4" t="n">
        <v>43569</v>
      </c>
      <c r="H94" t="inlineStr">
        <is>
          <t>Magnushan</t>
        </is>
      </c>
    </row>
    <row r="95"/>
  </sheetData>
  <pageMargins left="0.75" right="0.75" top="1" bottom="1" header="0.5" footer="0.5"/>
  <pageSetup orientation="portrait" paperSize="9" horizontalDpi="4294967292" verticalDpi="429496729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Emami Riis</dc:creator>
  <dcterms:created xsi:type="dcterms:W3CDTF">2023-04-10T08:38:12Z</dcterms:created>
  <dcterms:modified xsi:type="dcterms:W3CDTF">2026-06-07T18:06:19Z</dcterms:modified>
  <cp:lastModifiedBy>Daniel Emami Riis</cp:lastModifiedBy>
</cp:coreProperties>
</file>